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Infos Client" sheetId="1" r:id="rId5"/>
    <sheet state="hidden" name="📊 État des Lieux" sheetId="2" r:id="rId6"/>
    <sheet state="hidden" name="🔍 Concurrents" sheetId="3" r:id="rId7"/>
    <sheet state="hidden" name="🌳 Développement Stratégique" sheetId="4" r:id="rId8"/>
    <sheet state="visible" name="🗺️ Arborescence Site (2)" sheetId="5" r:id="rId9"/>
  </sheets>
  <definedNames/>
  <calcPr/>
</workbook>
</file>

<file path=xl/sharedStrings.xml><?xml version="1.0" encoding="utf-8"?>
<sst xmlns="http://schemas.openxmlformats.org/spreadsheetml/2006/main" count="873" uniqueCount="493">
  <si>
    <t>🗂  DIAGNOSTIC SEO — AVENTO</t>
  </si>
  <si>
    <t xml:space="preserve">  INFORMATIONS CLIENT</t>
  </si>
  <si>
    <t xml:space="preserve">  CONCURRENTS À ANALYSER</t>
  </si>
  <si>
    <t>Nom du prospect / client</t>
  </si>
  <si>
    <t>Plomberie Services 91</t>
  </si>
  <si>
    <t>Concurrent 1 (URL)</t>
  </si>
  <si>
    <t>https://sbm.fr/fr/accueil/</t>
  </si>
  <si>
    <t>Site web (URL)</t>
  </si>
  <si>
    <t>https://plombier-pussay.fr/</t>
  </si>
  <si>
    <t>Concurrent 2 (URL)</t>
  </si>
  <si>
    <t>https://www.c3go.fr/</t>
  </si>
  <si>
    <t>Secteur d'activité</t>
  </si>
  <si>
    <t>Plomberie / Chauffage industriel / Chauffagiste</t>
  </si>
  <si>
    <t>Concurrent 3 (URL)</t>
  </si>
  <si>
    <t>https://www.3mconception.fr/</t>
  </si>
  <si>
    <t>Ville principale</t>
  </si>
  <si>
    <t>Oison (45170) / Pussay (91740)</t>
  </si>
  <si>
    <t>Zone de chalandise</t>
  </si>
  <si>
    <t>Essonne (91) + Loiret (45)</t>
  </si>
  <si>
    <t xml:space="preserve">  MOTS-CLÉS PRINCIPAUX À TRAVAILLER</t>
  </si>
  <si>
    <t>Mot-clé</t>
  </si>
  <si>
    <t>Volume mensuel</t>
  </si>
  <si>
    <t>Position actuelle</t>
  </si>
  <si>
    <t>Page cible</t>
  </si>
  <si>
    <t>Priorité</t>
  </si>
  <si>
    <t>chauffagiste industriel</t>
  </si>
  <si>
    <t>Non positionné</t>
  </si>
  <si>
    <t>— Page à créer</t>
  </si>
  <si>
    <t>🔴 Haute</t>
  </si>
  <si>
    <t>chauffage industriel</t>
  </si>
  <si>
    <t>chauffagiste essonne</t>
  </si>
  <si>
    <t>chauffagiste ile de france</t>
  </si>
  <si>
    <t>chaufferie industrielle</t>
  </si>
  <si>
    <t>chauffage gaz industriel</t>
  </si>
  <si>
    <t>chauffage hangar industriel</t>
  </si>
  <si>
    <t>🟠 Moyenne</t>
  </si>
  <si>
    <t>chauffage batiment industriel</t>
  </si>
  <si>
    <t>chauffage entreprise</t>
  </si>
  <si>
    <t>plomberie industrielle</t>
  </si>
  <si>
    <t>chaufferie collective</t>
  </si>
  <si>
    <t>installateur chaudière biomasse</t>
  </si>
  <si>
    <t>💡 Priorité : Haute / Moyenne / Faible — Remplir depuis l'export SEMrush avant de compléter les autres onglets.</t>
  </si>
  <si>
    <t>Agence Avento  •  contact@agence-avento.fr  •  06 66 22 64 60  •  66 Avenue Raymond Aron, Massy 91300</t>
  </si>
  <si>
    <t>📊  ÉTAT DES LIEUX SEO</t>
  </si>
  <si>
    <t xml:space="preserve">  INDICATEURS CLÉS</t>
  </si>
  <si>
    <t>Mots-clés TOP 3</t>
  </si>
  <si>
    <t>Mots-clés TOP 10</t>
  </si>
  <si>
    <t>Mots-clés TOP 100</t>
  </si>
  <si>
    <t>Trafic / mois SEO</t>
  </si>
  <si>
    <t>Nb pages indexées</t>
  </si>
  <si>
    <t>Pages en 301</t>
  </si>
  <si>
    <t>~30</t>
  </si>
  <si>
    <t>estimé SEMrush</t>
  </si>
  <si>
    <t>TOP 3</t>
  </si>
  <si>
    <t>TOP 4-10</t>
  </si>
  <si>
    <t>TOP 11-100</t>
  </si>
  <si>
    <t>Trafic/mois</t>
  </si>
  <si>
    <t>Pages indexées</t>
  </si>
  <si>
    <t>Pages 301</t>
  </si>
  <si>
    <t xml:space="preserve">  MOTS-CLÉS À FORT POTENTIEL (déficit de positionnement)</t>
  </si>
  <si>
    <t>Page associée</t>
  </si>
  <si>
    <t>Objectif position</t>
  </si>
  <si>
    <t>TOP 5</t>
  </si>
  <si>
    <t>TOP 10</t>
  </si>
  <si>
    <t xml:space="preserve">  TOP PAGES DU SITE</t>
  </si>
  <si>
    <t>URL</t>
  </si>
  <si>
    <t>Trafic estimé/mois</t>
  </si>
  <si>
    <t>Nb mots-clés</t>
  </si>
  <si>
    <t>Position moyenne</t>
  </si>
  <si>
    <t>Remarque</t>
  </si>
  <si>
    <t>~0</t>
  </si>
  <si>
    <t>—</t>
  </si>
  <si>
    <t>Homepage — à optimiser pour chauffagiste industriel</t>
  </si>
  <si>
    <t>https://plombier-pussay.fr/fr/page/chauffage</t>
  </si>
  <si>
    <t>Page chauffage existante — à restructurer</t>
  </si>
  <si>
    <t>https://plombier-pussay.fr/plomberie/etampes</t>
  </si>
  <si>
    <t>Page locale plomberie</t>
  </si>
  <si>
    <t>https://plombier-pussay.fr/pompe-a-chaleur/pussay</t>
  </si>
  <si>
    <t>Page PAC locale</t>
  </si>
  <si>
    <t>https://plombier-pussay.fr/pompe-a-chaleur/essonne</t>
  </si>
  <si>
    <t>Page PAC département</t>
  </si>
  <si>
    <t>https://plombier-pussay.fr/aerotherme/essonne</t>
  </si>
  <si>
    <t>Page aérotherme</t>
  </si>
  <si>
    <t>https://plombier-pussay.fr/poele-a-granule/essonne</t>
  </si>
  <si>
    <t>Page poêle à granulé</t>
  </si>
  <si>
    <t>https://plombier-pussay.fr/plomberie/yvelines</t>
  </si>
  <si>
    <t>Page locale hors zone cible</t>
  </si>
  <si>
    <t>Agence Avento  •  contact@agence-avento.fr  •  06 66 22 64 60</t>
  </si>
  <si>
    <t xml:space="preserve">  ANALYSE QUALITATIVE PAR CONCURRENT</t>
  </si>
  <si>
    <t>Critère</t>
  </si>
  <si>
    <t>Votre site</t>
  </si>
  <si>
    <t>Concurrent 1</t>
  </si>
  <si>
    <t>Concurrent 2</t>
  </si>
  <si>
    <t>Concurrent 3</t>
  </si>
  <si>
    <t>Points forts SEO</t>
  </si>
  <si>
    <t>Nom de domaine exact match "plombier-pussay". Nombreuses pages locales créées.</t>
  </si>
  <si>
    <t>Marque établie, positionnée "chauffagiste industriel" (pos 3). Offre B2B claire.</t>
  </si>
  <si>
    <t>Positionné "chauffagiste ile de france" (pos 4), "chauffagiste industriel" (pos 3). Focus B2B.</t>
  </si>
  <si>
    <t>Positionné sur chauffage gaz, traitement air, génie climatique. Ancienneté du site.</t>
  </si>
  <si>
    <t>Points faibles SEO</t>
  </si>
  <si>
    <t>Aucun positionnement chauffage industriel. Contenu IA visible (prompts dans le texte). Pas de maillage structuré.</t>
  </si>
  <si>
    <t>Site corporate pas optimisé SEO local. Peu de contenu éditorial.</t>
  </si>
  <si>
    <t>Peu de pages. Site pas travaillé en profondeur. Manque de contenu local.</t>
  </si>
  <si>
    <t>Site très ancien (design daté). URLs non optimisées. Pas de blog.</t>
  </si>
  <si>
    <t>Répertoires couverts</t>
  </si>
  <si>
    <t>plomberie/, pompe-a-chaleur/, aerotherme/, poele-a-granule/, chauffage</t>
  </si>
  <si>
    <t>thermique, chauffage industriel</t>
  </si>
  <si>
    <t>chauffage, aérotherme, ventilation</t>
  </si>
  <si>
    <t>chauffage, traitement-air, génie climatique</t>
  </si>
  <si>
    <t>Zone géographique ciblée</t>
  </si>
  <si>
    <t>Essonne, Yvelines, Seine-et-Marne, Eure-et-Loir, Loiret</t>
  </si>
  <si>
    <t>Île-de-France / National</t>
  </si>
  <si>
    <t>Île-de-France</t>
  </si>
  <si>
    <t>Beauvais, Creil, Oise, Saint-Denis</t>
  </si>
  <si>
    <t>Stratégie contenu</t>
  </si>
  <si>
    <t>Pages locales par ville/département — contenu générique IA non optimisé</t>
  </si>
  <si>
    <t>Site vitrine corporate — pas de stratégie de contenu SEO</t>
  </si>
  <si>
    <t>Site vitrine B2B — quelques pages services</t>
  </si>
  <si>
    <t>Pages statiques — pas de stratégie de contenu</t>
  </si>
  <si>
    <t xml:space="preserve">  OPPORTUNITÉS IDENTIFIÉES PAR RAPPORT AUX CONCURRENTS</t>
  </si>
  <si>
    <t>Opportunité</t>
  </si>
  <si>
    <t>Volume potentiel</t>
  </si>
  <si>
    <t>Difficulté</t>
  </si>
  <si>
    <t>Concurrent positionné</t>
  </si>
  <si>
    <t>Action recommandée</t>
  </si>
  <si>
    <t>chauffagiste industriel essonne</t>
  </si>
  <si>
    <t>90+</t>
  </si>
  <si>
    <t>Faible (7)</t>
  </si>
  <si>
    <t>c3go.fr, sbm.fr</t>
  </si>
  <si>
    <t>Créer page hub : /chauffagiste-industriel-essonne/ — mot-clé stratégique #1</t>
  </si>
  <si>
    <t>chauffage industriel essonne</t>
  </si>
  <si>
    <t>140+</t>
  </si>
  <si>
    <t>Faible (10)</t>
  </si>
  <si>
    <t>elimaxfrance.fr</t>
  </si>
  <si>
    <t>Créer page service : /chauffage-industriel-essonne/ — silo chauffage industriel</t>
  </si>
  <si>
    <t>140</t>
  </si>
  <si>
    <t>Faible (11)</t>
  </si>
  <si>
    <t>elimaxfrance.fr (pos 2)</t>
  </si>
  <si>
    <t>Créer page contenu : /chaufferie-industrielle/ — top of funnel</t>
  </si>
  <si>
    <t>3mconception.fr</t>
  </si>
  <si>
    <t>Créer page service spécialisée dans le silo chauffage industriel</t>
  </si>
  <si>
    <t>90</t>
  </si>
  <si>
    <t>Faible (8)</t>
  </si>
  <si>
    <t>Article blog : /blog/chauffage-industriel/chauffer-hangar-industriel/</t>
  </si>
  <si>
    <t>170</t>
  </si>
  <si>
    <t>Faible (16)</t>
  </si>
  <si>
    <t>c3go.fr (pos 4)</t>
  </si>
  <si>
    <t>Page locale : /chauffagiste-ile-de-france/ — page département IDF</t>
  </si>
  <si>
    <t>🌳  DÉVELOPPEMENT STRATÉGIQUE</t>
  </si>
  <si>
    <t xml:space="preserve">  RÉPERTOIRES EXISTANTS À RENFORCER</t>
  </si>
  <si>
    <t>Répertoire (URL)</t>
  </si>
  <si>
    <t>Thématique principale</t>
  </si>
  <si>
    <t>Trafic actuel</t>
  </si>
  <si>
    <t>Potentiel estimé</t>
  </si>
  <si>
    <t>Pages à créer</t>
  </si>
  <si>
    <t>Horizon</t>
  </si>
  <si>
    <t>/fr/page/chauffage</t>
  </si>
  <si>
    <t>Chauffage (générique)</t>
  </si>
  <si>
    <t>500+</t>
  </si>
  <si>
    <t>3-5</t>
  </si>
  <si>
    <t>3 mois</t>
  </si>
  <si>
    <t>/plomberie/</t>
  </si>
  <si>
    <t>Plomberie locale</t>
  </si>
  <si>
    <t>200+</t>
  </si>
  <si>
    <t>2-3</t>
  </si>
  <si>
    <t>6 mois</t>
  </si>
  <si>
    <t>/pompe-a-chaleur/</t>
  </si>
  <si>
    <t>PAC</t>
  </si>
  <si>
    <t>300+</t>
  </si>
  <si>
    <t>/aerotherme/</t>
  </si>
  <si>
    <t>Aérotherme</t>
  </si>
  <si>
    <t>100+</t>
  </si>
  <si>
    <t>1-2</t>
  </si>
  <si>
    <t>/poele-a-granule/</t>
  </si>
  <si>
    <t>Poêle à granulé</t>
  </si>
  <si>
    <t>9 mois</t>
  </si>
  <si>
    <t xml:space="preserve">  NOUVEAUX RÉPERTOIRES SEO À CRÉER</t>
  </si>
  <si>
    <t>Répertoire / Hub</t>
  </si>
  <si>
    <t>Mots-clés principaux</t>
  </si>
  <si>
    <t>Volume mensuel total</t>
  </si>
  <si>
    <t>Potentiel annuel</t>
  </si>
  <si>
    <t>Nb pages à créer</t>
  </si>
  <si>
    <t>Horizon (mois)</t>
  </si>
  <si>
    <t>/chauffage-industriel/</t>
  </si>
  <si>
    <t>chauffagiste industriel, chauffage industriel, chaufferie industrielle</t>
  </si>
  <si>
    <t>3 000+</t>
  </si>
  <si>
    <t>8-10</t>
  </si>
  <si>
    <t>3</t>
  </si>
  <si>
    <t>/chauffagiste-essonne/</t>
  </si>
  <si>
    <t>chauffagiste essonne, chauffagiste ile de france</t>
  </si>
  <si>
    <t>340+</t>
  </si>
  <si>
    <t>2 000+</t>
  </si>
  <si>
    <t>5-6</t>
  </si>
  <si>
    <t>/chaudiere-biomasse/</t>
  </si>
  <si>
    <t>chaudière biomasse, installateur chaudière biomasse</t>
  </si>
  <si>
    <t>3 500+</t>
  </si>
  <si>
    <t>1 500+</t>
  </si>
  <si>
    <t>4-5</t>
  </si>
  <si>
    <t>6</t>
  </si>
  <si>
    <t>/tuyauterie-industrielle/</t>
  </si>
  <si>
    <t>tuyauterie industrielle, plomberie industrielle</t>
  </si>
  <si>
    <t>800+</t>
  </si>
  <si>
    <t>3-4</t>
  </si>
  <si>
    <t>9</t>
  </si>
  <si>
    <t>/blog/chauffage-industriel/</t>
  </si>
  <si>
    <t>Articles thématiques chauffage industriel</t>
  </si>
  <si>
    <t>1 000+</t>
  </si>
  <si>
    <t>5</t>
  </si>
  <si>
    <t xml:space="preserve">  ARCHITECTURE SILO — HUB / NIVEAU 1 / NIVEAU 2</t>
  </si>
  <si>
    <t>Hub (répertoire)</t>
  </si>
  <si>
    <t>Niveau 1 (sous-thématique)</t>
  </si>
  <si>
    <t>Niveau 2 (article / page)</t>
  </si>
  <si>
    <t>Mot-clé cible</t>
  </si>
  <si>
    <t>Volume</t>
  </si>
  <si>
    <t>Type de page</t>
  </si>
  <si>
    <t>🔥 Chauffage Industriel</t>
  </si>
  <si>
    <t>Hub principal</t>
  </si>
  <si>
    <t>Chauffagiste industriel</t>
  </si>
  <si>
    <t>Page hub service</t>
  </si>
  <si>
    <t>Chauffage gaz industriel</t>
  </si>
  <si>
    <t>Page service</t>
  </si>
  <si>
    <t>Chauffage hangar / bâtiment</t>
  </si>
  <si>
    <t>Chaufferie industrielle</t>
  </si>
  <si>
    <t>Maintenance chaufferie</t>
  </si>
  <si>
    <t>maintenance chaufferie industrielle</t>
  </si>
  <si>
    <t>50+</t>
  </si>
  <si>
    <t>🏭 Chauffagiste local</t>
  </si>
  <si>
    <t>Hub chauffagiste Essonne</t>
  </si>
  <si>
    <t>Chauffagiste Île-de-France</t>
  </si>
  <si>
    <t>Page département</t>
  </si>
  <si>
    <t>Chauffagiste Loiret</t>
  </si>
  <si>
    <t>chauffagiste loiret</t>
  </si>
  <si>
    <t>🌿 Chaudière Biomasse</t>
  </si>
  <si>
    <t>Hub biomasse</t>
  </si>
  <si>
    <t>chaudière biomasse</t>
  </si>
  <si>
    <t>2900</t>
  </si>
  <si>
    <t>Installateur chaudière biomasse</t>
  </si>
  <si>
    <t>70</t>
  </si>
  <si>
    <t>Chaudière biomasse industrielle</t>
  </si>
  <si>
    <t>chaudière biomasse industrielle</t>
  </si>
  <si>
    <t xml:space="preserve">  EXTENSION ZONE DE CHALANDISE</t>
  </si>
  <si>
    <t>Ville / Zone cible</t>
  </si>
  <si>
    <t>Mot-clé type</t>
  </si>
  <si>
    <t>Page à créer</t>
  </si>
  <si>
    <t xml:space="preserve">  SUJETS ÉDITORIAUX (EEAT / Maillage interne)</t>
  </si>
  <si>
    <t>Sujet / Article</t>
  </si>
  <si>
    <t>Mot-clé principal</t>
  </si>
  <si>
    <t>Page business cible</t>
  </si>
  <si>
    <t>Objectif</t>
  </si>
  <si>
    <t>🗺️  ARBORESCENCE SEO — Plomberie Services 91</t>
  </si>
  <si>
    <t>Stratégie locale — Essonne (91) &amp; Loiret (45) | Focus : Chauffage industriel &amp; Chauffagiste | Mars 2026</t>
  </si>
  <si>
    <t>Niveau 1
Silo</t>
  </si>
  <si>
    <t>Niveau 2
Hub / Sous-thème</t>
  </si>
  <si>
    <t>URL cible</t>
  </si>
  <si>
    <t>Titre de page (H1)</t>
  </si>
  <si>
    <t>Mot-clé secondaire</t>
  </si>
  <si>
    <t>Validation</t>
  </si>
  <si>
    <t>🏠 Accueil</t>
  </si>
  <si>
    <t>Page d'accueil</t>
  </si>
  <si>
    <t>/</t>
  </si>
  <si>
    <t>Chauffagiste Industriel Essonne &amp;r Loiet — Plomberie Services 91</t>
  </si>
  <si>
    <t>M1</t>
  </si>
  <si>
    <t>🔥 Chauffagiste industriel</t>
  </si>
  <si>
    <t>/chauffagiste-industriel/</t>
  </si>
  <si>
    <t>Chauffagiste Industriel — Expert Chauffage Professionnel</t>
  </si>
  <si>
    <t>chauffagiste professionnel</t>
  </si>
  <si>
    <t>/chauffage-industriel/chauffage-gaz/</t>
  </si>
  <si>
    <t>Chauffage Gaz Industriel — Solutions Performantes</t>
  </si>
  <si>
    <t>Chauffage hangar industriel</t>
  </si>
  <si>
    <t>/chauffage-industriel/chauffage-hangar/</t>
  </si>
  <si>
    <t>Chauffage Hangar Industriel — Aérothermes, Radiants, Solutions</t>
  </si>
  <si>
    <t>/chauffage-industriel/chaufferie-industrielle/</t>
  </si>
  <si>
    <t>Chaufferie Industrielle — Conception, Installation et Normes</t>
  </si>
  <si>
    <t>chaufferie industriel</t>
  </si>
  <si>
    <t>M2</t>
  </si>
  <si>
    <t>Aérotherme industriel</t>
  </si>
  <si>
    <t>/chauffage-industriel/aerotherme/</t>
  </si>
  <si>
    <t>Aérotherme Industriel — Installation et Maintenance</t>
  </si>
  <si>
    <t>aérotherme industriel</t>
  </si>
  <si>
    <t>aerotherme gaz</t>
  </si>
  <si>
    <t>Chauffage radiant industriel</t>
  </si>
  <si>
    <t>/chauffage-industriel/chauffage-radiant/</t>
  </si>
  <si>
    <t>Chauffage Radiant Industriel — Infrarouge et Solutions</t>
  </si>
  <si>
    <t>chauffage radiant industriel</t>
  </si>
  <si>
    <t>M3</t>
  </si>
  <si>
    <t>/chauffage-industriel/maintenance-chaufferie/</t>
  </si>
  <si>
    <t>Maintenance Chaufferie Industrielle — Contrat et Dépannage</t>
  </si>
  <si>
    <t>entretien chaufferie</t>
  </si>
  <si>
    <t>Chauffage collectif</t>
  </si>
  <si>
    <t>/chauffage-industriel/chauffage-collectif/</t>
  </si>
  <si>
    <t>Chauffage Collectif — Installation et Gestion de Chaufferies</t>
  </si>
  <si>
    <t>chauffage collectif</t>
  </si>
  <si>
    <t>Chauffage électrique collectif</t>
  </si>
  <si>
    <t>/chauffage-industriel/chauffage-electrique-collectif/</t>
  </si>
  <si>
    <t>Chauffage Électrique Collectif — Solutions et Alternatives</t>
  </si>
  <si>
    <t>chauffage électrique collectif</t>
  </si>
  <si>
    <t>🟡 Basse</t>
  </si>
  <si>
    <t>M6</t>
  </si>
  <si>
    <t>Chauffage industriel Essonne</t>
  </si>
  <si>
    <t>/chauffage-industriel-essonne/</t>
  </si>
  <si>
    <t>Chauffage Industriel en Essonne (91)</t>
  </si>
  <si>
    <t>Page locale</t>
  </si>
  <si>
    <t>Chauffage industriel Loiret</t>
  </si>
  <si>
    <t>/chauffage-industriel-loiret/</t>
  </si>
  <si>
    <t>Chauffage Industriel dans le Loiret (45)</t>
  </si>
  <si>
    <t>chauffage industriel loiret</t>
  </si>
  <si>
    <t>🏭 Chauffagiste</t>
  </si>
  <si>
    <t>Hub Chauffagiste</t>
  </si>
  <si>
    <t>/chauffagiste/</t>
  </si>
  <si>
    <t>Chauffagiste Professionnel — Essonne, Loiret et Île-de-France</t>
  </si>
  <si>
    <t>chauffagiste</t>
  </si>
  <si>
    <t>Chauffagiste Essonne</t>
  </si>
  <si>
    <t>Chauffagiste en Essonne (91) — Devis Gratuit</t>
  </si>
  <si>
    <t>chauffagiste 91</t>
  </si>
  <si>
    <t>/chauffagiste-loiret/</t>
  </si>
  <si>
    <t>Chauffagiste dans le Loiret (45) — Installation et Dépannage</t>
  </si>
  <si>
    <t>chauffagiste 45</t>
  </si>
  <si>
    <t>💰 Devis</t>
  </si>
  <si>
    <t>Hub Devis Chauffage</t>
  </si>
  <si>
    <t>/devis-chauffage-industriel/</t>
  </si>
  <si>
    <t>Devis Chauffage Industriel Gratuit — Réponse sous 24h</t>
  </si>
  <si>
    <t>devis chauffage industriel</t>
  </si>
  <si>
    <t>devis chauffage</t>
  </si>
  <si>
    <t>Page hub service devis</t>
  </si>
  <si>
    <t>Devis chauffagiste</t>
  </si>
  <si>
    <t>/devis-chauffagiste/</t>
  </si>
  <si>
    <t>Devis Chauffagiste Gratuit — Essonne, Loiret, Île-de-France</t>
  </si>
  <si>
    <t>devis chauffagiste</t>
  </si>
  <si>
    <t>chauffagiste devis gratuit</t>
  </si>
  <si>
    <t>Page service devis</t>
  </si>
  <si>
    <t>Devis installation chauffage</t>
  </si>
  <si>
    <t>/devis-installation-chauffage/</t>
  </si>
  <si>
    <t>Devis Installation Chauffage — Gaz, Électrique, Biomasse</t>
  </si>
  <si>
    <t>devis installation chauffage</t>
  </si>
  <si>
    <t>devis installation chauffage gaz</t>
  </si>
  <si>
    <t>Devis dépannage chauffage</t>
  </si>
  <si>
    <t>/devis-depannage-chauffage/</t>
  </si>
  <si>
    <t>Devis Dépannage Chauffage — Intervention Rapide</t>
  </si>
  <si>
    <t>devis depannage chauffage</t>
  </si>
  <si>
    <t>devis réparation chauffage</t>
  </si>
  <si>
    <t>Devis maintenance chauffage</t>
  </si>
  <si>
    <t>/devis-maintenance-chauffage/</t>
  </si>
  <si>
    <t>Devis Maintenance Chauffage — Contrat Entretien Pro</t>
  </si>
  <si>
    <t>devis maintenance chauffage</t>
  </si>
  <si>
    <t>devis entretien chaufferie</t>
  </si>
  <si>
    <t>Devis plombier chauffagiste</t>
  </si>
  <si>
    <t>/devis-plombier-chauffagiste/</t>
  </si>
  <si>
    <t>Devis Plombier Chauffagiste Gratuit — Plomberie Services 91</t>
  </si>
  <si>
    <t>devis plombier chauffagiste</t>
  </si>
  <si>
    <t>Devis chauffagiste Essonne</t>
  </si>
  <si>
    <t>/devis-chauffagiste-essonne/</t>
  </si>
  <si>
    <t>Devis Chauffagiste en Essonne (91) — Gratuit Sans Engagement</t>
  </si>
  <si>
    <t>devis chauffagiste essonne</t>
  </si>
  <si>
    <t>Page locale devis</t>
  </si>
  <si>
    <t>Devis chauffagiste Loiret</t>
  </si>
  <si>
    <t>/devis-chauffagiste-loiret/</t>
  </si>
  <si>
    <t>Devis Chauffagiste dans le Loiret (45) — Gratuit</t>
  </si>
  <si>
    <t>devis chauffagiste loiret</t>
  </si>
  <si>
    <t>Devis chauffagiste Île-de-France</t>
  </si>
  <si>
    <t>/devis-chauffagiste-ile-de-france/</t>
  </si>
  <si>
    <t>Devis Chauffagiste Île-de-France — Gratuit Sans Engagement</t>
  </si>
  <si>
    <t>devis chauffagiste ile de france</t>
  </si>
  <si>
    <t>🔧 Plomberie</t>
  </si>
  <si>
    <t>Hub Plomberie</t>
  </si>
  <si>
    <t>Plombier en Essonne et Loiret — Plomberie Services 91</t>
  </si>
  <si>
    <t>plombier essonne</t>
  </si>
  <si>
    <t>plombier loiret</t>
  </si>
  <si>
    <t>Plomberie industrielle</t>
  </si>
  <si>
    <t>/plomberie/industrielle/</t>
  </si>
  <si>
    <t>Plomberie Industrielle — Tuyauterie et Installation</t>
  </si>
  <si>
    <t>tuyauterie industrielle</t>
  </si>
  <si>
    <t>Plombier Pussay</t>
  </si>
  <si>
    <t>/plombier-pussay/</t>
  </si>
  <si>
    <t>Plombier à Pussay (91740) — Intervention Rapide</t>
  </si>
  <si>
    <t>plombier pussay</t>
  </si>
  <si>
    <t>Plombier Étampes</t>
  </si>
  <si>
    <t>/plombier-etampes/</t>
  </si>
  <si>
    <t>Plombier à Étampes — Dépannage et Installation</t>
  </si>
  <si>
    <t>plombier etampes</t>
  </si>
  <si>
    <t>Plombier Orléans</t>
  </si>
  <si>
    <t>/plombier-orleans/</t>
  </si>
  <si>
    <t>Plombier à Orléans (45)</t>
  </si>
  <si>
    <t>plombier orleans</t>
  </si>
  <si>
    <t>🏗️ Tuyauterie</t>
  </si>
  <si>
    <t>Hub Tuyauterie Industrielle</t>
  </si>
  <si>
    <t>Tuyauterie Industrielle — Installation et Maintenance</t>
  </si>
  <si>
    <t>entreprise tuyauterie</t>
  </si>
  <si>
    <t>Tuyauterie Essonne</t>
  </si>
  <si>
    <t>/tuyauterie-industrielle-essonne/</t>
  </si>
  <si>
    <t>Tuyauterie Industrielle en Essonne (91)</t>
  </si>
  <si>
    <t>tuyauterie industrielle essonne</t>
  </si>
  <si>
    <t>M9</t>
  </si>
  <si>
    <t>Tuyauterie Loiret</t>
  </si>
  <si>
    <t>/tuyauterie-industrielle-loiret/</t>
  </si>
  <si>
    <t>Tuyauterie Industrielle dans le Loiret (45)</t>
  </si>
  <si>
    <t>tuyauterie industrielle loiret</t>
  </si>
  <si>
    <t>♻️ PAC</t>
  </si>
  <si>
    <t>Hub Pompe à Chaleur</t>
  </si>
  <si>
    <t>Installation Pompe à Chaleur — Essonne et Loiret</t>
  </si>
  <si>
    <t>pompe à chaleur essonne</t>
  </si>
  <si>
    <t>installateur pac</t>
  </si>
  <si>
    <t>PAC Essonne</t>
  </si>
  <si>
    <t>/pompe-a-chaleur-essonne/</t>
  </si>
  <si>
    <t>Pompe à Chaleur en Essonne (91)</t>
  </si>
  <si>
    <t>PAC Loiret</t>
  </si>
  <si>
    <t>/pompe-a-chaleur-loiret/</t>
  </si>
  <si>
    <t>Pompe à Chaleur dans le Loiret (45)</t>
  </si>
  <si>
    <t>pompe à chaleur loiret</t>
  </si>
  <si>
    <t>PAC Pussay</t>
  </si>
  <si>
    <t>/pompe-a-chaleur-pussay/</t>
  </si>
  <si>
    <t>Pompe à Chaleur à Pussay (91740)</t>
  </si>
  <si>
    <t>pompe à chaleur pussay</t>
  </si>
  <si>
    <t>🪵 Poêle</t>
  </si>
  <si>
    <t>Hub Poêle à Granulé</t>
  </si>
  <si>
    <t>Installation Poêle à Granulé — Essonne et Loiret</t>
  </si>
  <si>
    <t>poêle à granulé essonne</t>
  </si>
  <si>
    <t>Poêle à granulé Essonne</t>
  </si>
  <si>
    <t>/poele-a-granule-essonne/</t>
  </si>
  <si>
    <t>Poêle à Granulé en Essonne (91)</t>
  </si>
  <si>
    <t>Poêle à granulé Loiret</t>
  </si>
  <si>
    <t>/poele-a-granule-loiret/</t>
  </si>
  <si>
    <t>Poêle à Granulé dans le Loiret (45)</t>
  </si>
  <si>
    <t>poêle à granulé loiret</t>
  </si>
  <si>
    <t>📝 Blog</t>
  </si>
  <si>
    <t>/blog/ — Hub principal</t>
  </si>
  <si>
    <t>/blog/</t>
  </si>
  <si>
    <t>Blog — Chauffage Industriel, Plomberie et Énergie</t>
  </si>
  <si>
    <t>Hub blog</t>
  </si>
  <si>
    <t>Hub Chauffage Industriel
→ /chauffage-industriel/</t>
  </si>
  <si>
    <t>Blog Chauffage Industriel — Guides Pro</t>
  </si>
  <si>
    <t>Hub blog thématique</t>
  </si>
  <si>
    <t>Comment chauffer un bâtiment industriel</t>
  </si>
  <si>
    <t>/blog/chauffage-industriel/chauffer-batiment-industriel/</t>
  </si>
  <si>
    <t>Article blog</t>
  </si>
  <si>
    <t>Normes chaufferie industrielle 2026</t>
  </si>
  <si>
    <t>/blog/chauffage-industriel/normes-chaufferie/</t>
  </si>
  <si>
    <t>normes chaufferie industrielle</t>
  </si>
  <si>
    <t>Chauffage gaz vs électrique en industrie</t>
  </si>
  <si>
    <t>/blog/chauffage-industriel/gaz-vs-electrique/</t>
  </si>
  <si>
    <t>Prix installation chaufferie industrielle</t>
  </si>
  <si>
    <t>/blog/chauffage-industriel/prix-installation/</t>
  </si>
  <si>
    <t>prix chaufferie industrielle</t>
  </si>
  <si>
    <t>Maintenance préventive chaufferie</t>
  </si>
  <si>
    <t>/blog/chauffage-industriel/maintenance-preventive/</t>
  </si>
  <si>
    <t>maintenance chaufferie</t>
  </si>
  <si>
    <t>Hub Chauffagiste
→ /chauffagiste/</t>
  </si>
  <si>
    <t>/blog/chauffagiste/</t>
  </si>
  <si>
    <t>Blog Chauffagiste — Conseils et Expertise</t>
  </si>
  <si>
    <t>Comment choisir son chauffagiste industriel</t>
  </si>
  <si>
    <t>/blog/chauffagiste/choisir-chauffagiste-industriel/</t>
  </si>
  <si>
    <t>Chauffage collectif vs individuel</t>
  </si>
  <si>
    <t>/blog/chauffagiste/collectif-vs-individuel/</t>
  </si>
  <si>
    <t>chauffage collectif ou individuel</t>
  </si>
  <si>
    <t>Chauffagiste : rôle et compétences</t>
  </si>
  <si>
    <t>/blog/chauffagiste/role-competences/</t>
  </si>
  <si>
    <t>Dépannage chauffage : quand appeler un pro</t>
  </si>
  <si>
    <t>/blog/chauffagiste/depannage-chauffage/</t>
  </si>
  <si>
    <t>dépannage chauffage</t>
  </si>
  <si>
    <t>Hub Biomasse
→ /chaudiere-biomasse/</t>
  </si>
  <si>
    <t>/blog/biomasse/</t>
  </si>
  <si>
    <t>Blog Biomasse — Chaudières et Chauffage Durable</t>
  </si>
  <si>
    <t>Comment fonctionne une chaudière biomasse</t>
  </si>
  <si>
    <t>/blog/biomasse/fonctionnement-chaudiere-biomasse/</t>
  </si>
  <si>
    <t>fonctionnement chaudière biomasse</t>
  </si>
  <si>
    <t>Avantages chaudière biomasse en industrie</t>
  </si>
  <si>
    <t>/blog/biomasse/avantages-biomasse-industrie/</t>
  </si>
  <si>
    <t>Chaudière biomasse vs gaz : comparatif</t>
  </si>
  <si>
    <t>/blog/biomasse/biomasse-vs-gaz/</t>
  </si>
  <si>
    <t>chaudiere biomasse</t>
  </si>
  <si>
    <t>M4</t>
  </si>
  <si>
    <t>Cogénération : principe et avantages</t>
  </si>
  <si>
    <t>/blog/biomasse/cogeneration/</t>
  </si>
  <si>
    <t>cogénération</t>
  </si>
  <si>
    <t>Hub Plomberie
→ /plomberie/</t>
  </si>
  <si>
    <t>/blog/plomberie/</t>
  </si>
  <si>
    <t>Blog Plomberie — Conseils et Guides</t>
  </si>
  <si>
    <t>plomberie</t>
  </si>
  <si>
    <t>Tuyauterie industrielle : rôle et qualité</t>
  </si>
  <si>
    <t>/blog/plomberie/tuyauterie-industrielle-role/</t>
  </si>
  <si>
    <t>Types de tuyaux en plomberie</t>
  </si>
  <si>
    <t>Plomberie industrielle vs résidentielle</t>
  </si>
  <si>
    <t>Hub Énergie &amp; PAC
→ /pompe-a-chaleur/</t>
  </si>
  <si>
    <t>/blog/energie/</t>
  </si>
  <si>
    <t>Blog Énergie — PAC et Solutions Durables</t>
  </si>
  <si>
    <t>pompe à chaleur</t>
  </si>
  <si>
    <t>Pompe à chaleur : guide complet 2026</t>
  </si>
  <si>
    <t>/blog/energie/guide-pompe-a-chaleur/</t>
  </si>
  <si>
    <t>PAC air-eau vs air-air pour entreprise</t>
  </si>
  <si>
    <t>/blog/energie/pac-air-eau-vs-air-air/</t>
  </si>
  <si>
    <t>pac air eau</t>
  </si>
  <si>
    <t>Aides financières chauffage industriel 2026</t>
  </si>
  <si>
    <t>/blog/energie/aides-chauffage-industriel/</t>
  </si>
  <si>
    <t>aides chauffage industriel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</si>
</sst>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11.0"/>
      <color theme="1"/>
      <name val="Calibri"/>
    </font>
    <font>
      <b/>
      <sz val="20.0"/>
      <color rgb="FFFFFFFF"/>
      <name val="Arial"/>
    </font>
    <font/>
    <font>
      <b/>
      <sz val="11.0"/>
      <color rgb="FFFFFFFF"/>
      <name val="Arial"/>
    </font>
    <font>
      <b/>
      <sz val="10.0"/>
      <color rgb="FF092F5E"/>
      <name val="Arial"/>
    </font>
    <font>
      <sz val="10.0"/>
      <color rgb="FF1A1A2E"/>
      <name val="Arial"/>
    </font>
    <font>
      <i/>
      <sz val="9.0"/>
      <color rgb="FF7A8B9A"/>
      <name val="Arial"/>
    </font>
    <font>
      <i/>
      <sz val="8.0"/>
      <color rgb="FF9AABB8"/>
      <name val="Arial"/>
    </font>
    <font>
      <sz val="9.0"/>
      <color rgb="FFA8B8CC"/>
      <name val="Arial"/>
    </font>
    <font>
      <b/>
      <sz val="18.0"/>
      <color rgb="FF00D4AA"/>
      <name val="Arial"/>
    </font>
    <font>
      <sz val="8.0"/>
      <color rgb="FFA8B8CC"/>
      <name val="Arial"/>
    </font>
    <font>
      <sz val="1.0"/>
      <color rgb="FFFFFFFF"/>
      <name val="Cambria"/>
    </font>
    <font>
      <b/>
      <sz val="9.0"/>
      <color rgb="FF092F5E"/>
      <name val="Arial"/>
    </font>
    <font>
      <b/>
      <sz val="10.0"/>
      <color rgb="FFFFFFFF"/>
      <name val="Arial"/>
    </font>
    <font>
      <b/>
      <sz val="14.0"/>
      <color rgb="FF092F5E"/>
      <name val="Arial"/>
    </font>
    <font>
      <i/>
      <sz val="10.0"/>
      <color rgb="FF666666"/>
      <name val="Arial"/>
    </font>
    <font>
      <b/>
      <sz val="11.0"/>
      <color rgb="FF092F5E"/>
      <name val="Arial"/>
    </font>
    <font>
      <sz val="9.0"/>
      <color rgb="FF1155CC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CC0000"/>
      <name val="Arial"/>
    </font>
    <font>
      <sz val="10.0"/>
      <color rgb="FFCC6600"/>
      <name val="Arial"/>
    </font>
    <font>
      <sz val="10.0"/>
      <color rgb="FF9999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92F5E"/>
        <bgColor rgb="FF092F5E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E8ECF0"/>
        <bgColor rgb="FFE8ECF0"/>
      </patternFill>
    </fill>
    <fill>
      <patternFill patternType="solid">
        <fgColor rgb="FFE8F0FE"/>
        <bgColor rgb="FFE8F0FE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D0D8E4"/>
      </left>
      <top style="thin">
        <color rgb="FFD0D8E4"/>
      </top>
      <bottom style="thin">
        <color rgb="FFD0D8E4"/>
      </bottom>
    </border>
    <border>
      <right style="thin">
        <color rgb="FFD0D8E4"/>
      </right>
      <top style="thin">
        <color rgb="FFD0D8E4"/>
      </top>
      <bottom style="thin">
        <color rgb="FFD0D8E4"/>
      </bottom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</border>
    <border>
      <top style="thin">
        <color rgb="FFD0D8E4"/>
      </top>
      <bottom style="thin">
        <color rgb="FFD0D8E4"/>
      </bottom>
    </border>
    <border>
      <right/>
      <top style="thin">
        <color rgb="FFD0D8E4"/>
      </top>
      <bottom style="thin">
        <color rgb="FFD0D8E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6" fillId="3" fontId="5" numFmtId="0" xfId="0" applyAlignment="1" applyBorder="1" applyFill="1" applyFont="1">
      <alignment horizontal="left" shrinkToFit="0" vertical="center" wrapText="1"/>
    </xf>
    <xf borderId="6" fillId="3" fontId="6" numFmtId="0" xfId="0" applyAlignment="1" applyBorder="1" applyFont="1">
      <alignment horizontal="left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6" fillId="4" fontId="6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6" fillId="5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2" fontId="4" numFmtId="0" xfId="0" applyAlignment="1" applyBorder="1" applyFont="1">
      <alignment horizontal="left" shrinkToFit="0" vertical="center" wrapText="0"/>
    </xf>
    <xf borderId="8" fillId="0" fontId="3" numFmtId="0" xfId="0" applyBorder="1" applyFont="1"/>
    <xf borderId="6" fillId="2" fontId="9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6" fillId="5" fontId="13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left" shrinkToFit="0" vertical="top" wrapText="1"/>
    </xf>
    <xf borderId="6" fillId="4" fontId="6" numFmtId="0" xfId="0" applyAlignment="1" applyBorder="1" applyFont="1">
      <alignment horizontal="left" shrinkToFit="0" vertical="top" wrapText="1"/>
    </xf>
    <xf borderId="6" fillId="2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center" wrapText="0"/>
    </xf>
    <xf borderId="0" fillId="0" fontId="16" numFmtId="0" xfId="0" applyAlignment="1" applyFont="1">
      <alignment shrinkToFit="0" vertical="bottom" wrapText="0"/>
    </xf>
    <xf borderId="9" fillId="2" fontId="14" numFmtId="0" xfId="0" applyAlignment="1" applyBorder="1" applyFont="1">
      <alignment horizontal="center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9" fillId="6" fontId="17" numFmtId="0" xfId="0" applyAlignment="1" applyBorder="1" applyFill="1" applyFont="1">
      <alignment shrinkToFit="0" vertical="center" wrapText="1"/>
    </xf>
    <xf borderId="9" fillId="6" fontId="5" numFmtId="0" xfId="0" applyAlignment="1" applyBorder="1" applyFont="1">
      <alignment shrinkToFit="0" vertical="center" wrapText="1"/>
    </xf>
    <xf borderId="9" fillId="6" fontId="18" numFmtId="0" xfId="0" applyAlignment="1" applyBorder="1" applyFont="1">
      <alignment shrinkToFit="0" vertical="center" wrapText="1"/>
    </xf>
    <xf borderId="9" fillId="6" fontId="19" numFmtId="0" xfId="0" applyAlignment="1" applyBorder="1" applyFont="1">
      <alignment readingOrder="0" shrinkToFit="0" vertical="center" wrapText="1"/>
    </xf>
    <xf borderId="9" fillId="6" fontId="20" numFmtId="0" xfId="0" applyAlignment="1" applyBorder="1" applyFont="1">
      <alignment shrinkToFit="0" vertical="center" wrapText="1"/>
    </xf>
    <xf borderId="9" fillId="6" fontId="19" numFmtId="0" xfId="0" applyAlignment="1" applyBorder="1" applyFont="1">
      <alignment shrinkToFit="0" vertical="center" wrapText="1"/>
    </xf>
    <xf borderId="9" fillId="6" fontId="21" numFmtId="0" xfId="0" applyAlignment="1" applyBorder="1" applyFont="1">
      <alignment shrinkToFit="0" vertical="center" wrapText="1"/>
    </xf>
    <xf borderId="9" fillId="6" fontId="17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vertical="center" wrapText="1"/>
    </xf>
    <xf borderId="9" fillId="6" fontId="22" numFmtId="0" xfId="0" applyAlignment="1" applyBorder="1" applyFont="1">
      <alignment shrinkToFit="0" vertical="center" wrapText="1"/>
    </xf>
    <xf borderId="0" fillId="6" fontId="17" numFmtId="0" xfId="0" applyAlignment="1" applyFont="1">
      <alignment shrinkToFit="0" vertical="center" wrapText="1"/>
    </xf>
    <xf borderId="0" fillId="6" fontId="5" numFmtId="0" xfId="0" applyAlignment="1" applyFont="1">
      <alignment shrinkToFit="0" vertical="center" wrapText="1"/>
    </xf>
    <xf borderId="0" fillId="6" fontId="18" numFmtId="0" xfId="0" applyAlignment="1" applyFont="1">
      <alignment shrinkToFit="0" vertical="center" wrapText="1"/>
    </xf>
    <xf borderId="0" fillId="6" fontId="19" numFmtId="0" xfId="0" applyAlignment="1" applyFont="1">
      <alignment shrinkToFit="0" vertical="center" wrapText="1"/>
    </xf>
    <xf borderId="0" fillId="6" fontId="20" numFmtId="0" xfId="0" applyAlignment="1" applyFont="1">
      <alignment shrinkToFit="0" vertical="center" wrapText="1"/>
    </xf>
    <xf borderId="0" fillId="6" fontId="23" numFmtId="0" xfId="0" applyAlignment="1" applyFont="1">
      <alignment shrinkToFit="0" vertical="center" wrapText="1"/>
    </xf>
    <xf borderId="9" fillId="6" fontId="23" numFmtId="0" xfId="0" applyAlignment="1" applyBorder="1" applyFont="1">
      <alignment shrinkToFit="0" vertical="center" wrapText="1"/>
    </xf>
    <xf borderId="9" fillId="7" fontId="5" numFmtId="0" xfId="0" applyAlignment="1" applyBorder="1" applyFill="1" applyFont="1">
      <alignment shrinkToFit="0" vertical="center" wrapText="1"/>
    </xf>
    <xf borderId="9" fillId="7" fontId="18" numFmtId="0" xfId="0" applyAlignment="1" applyBorder="1" applyFont="1">
      <alignment shrinkToFit="0" vertical="center" wrapText="1"/>
    </xf>
    <xf borderId="9" fillId="7" fontId="19" numFmtId="0" xfId="0" applyAlignment="1" applyBorder="1" applyFont="1">
      <alignment shrinkToFit="0" vertical="center" wrapText="1"/>
    </xf>
    <xf borderId="9" fillId="7" fontId="20" numFmtId="0" xfId="0" applyAlignment="1" applyBorder="1" applyFont="1">
      <alignment shrinkToFit="0" vertical="center" wrapText="1"/>
    </xf>
    <xf borderId="9" fillId="7" fontId="21" numFmtId="0" xfId="0" applyAlignment="1" applyBorder="1" applyFont="1">
      <alignment shrinkToFit="0" vertical="center" wrapText="1"/>
    </xf>
    <xf borderId="9" fillId="8" fontId="19" numFmtId="0" xfId="0" applyAlignment="1" applyBorder="1" applyFill="1" applyFont="1">
      <alignment shrinkToFit="0" vertical="center" wrapText="1"/>
    </xf>
    <xf borderId="9" fillId="8" fontId="18" numFmtId="0" xfId="0" applyAlignment="1" applyBorder="1" applyFont="1">
      <alignment shrinkToFit="0" vertical="center" wrapText="1"/>
    </xf>
    <xf borderId="9" fillId="8" fontId="20" numFmtId="0" xfId="0" applyAlignment="1" applyBorder="1" applyFont="1">
      <alignment shrinkToFit="0" vertical="center" wrapText="1"/>
    </xf>
    <xf borderId="9" fillId="8" fontId="21" numFmtId="0" xfId="0" applyAlignment="1" applyBorder="1" applyFont="1">
      <alignment shrinkToFit="0" vertical="center" wrapText="1"/>
    </xf>
    <xf borderId="9" fillId="8" fontId="22" numFmtId="0" xfId="0" applyAlignment="1" applyBorder="1" applyFont="1">
      <alignment shrinkToFit="0" vertical="center" wrapText="1"/>
    </xf>
    <xf borderId="9" fillId="7" fontId="22" numFmtId="0" xfId="0" applyAlignment="1" applyBorder="1" applyFont="1">
      <alignment shrinkToFit="0" vertical="center" wrapText="1"/>
    </xf>
    <xf borderId="9" fillId="8" fontId="23" numFmtId="0" xfId="0" applyAlignment="1" applyBorder="1" applyFont="1">
      <alignment shrinkToFit="0" vertical="center" wrapText="1"/>
    </xf>
    <xf borderId="9" fillId="7" fontId="23" numFmtId="0" xfId="0" applyAlignment="1" applyBorder="1" applyFont="1">
      <alignment shrinkToFit="0" vertical="center" wrapText="1"/>
    </xf>
    <xf borderId="1" fillId="8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Mots-clés par position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0D4AA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État des Lieux'!$K$9:$M$9</c:f>
            </c:strRef>
          </c:cat>
          <c:val>
            <c:numRef>
              <c:f>'📊 État des Lieux'!$K$10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Trafic &amp; Pages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Trafic/mois</c:v>
          </c:tx>
          <c:spPr>
            <a:solidFill>
              <a:srgbClr val="00D4AA"/>
            </a:solidFill>
            <a:ln cmpd="sng">
              <a:solidFill>
                <a:srgbClr val="000000"/>
              </a:solidFill>
            </a:ln>
          </c:spPr>
          <c:cat>
            <c:strRef>
              <c:f>'📊 État des Lieux'!$K$11</c:f>
            </c:strRef>
          </c:cat>
          <c:val>
            <c:numRef>
              <c:f>'📊 État des Lieux'!$L$11</c:f>
              <c:numCache/>
            </c:numRef>
          </c:val>
        </c:ser>
        <c:ser>
          <c:idx val="1"/>
          <c:order val="1"/>
          <c:tx>
            <c:v>Pages indexées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'📊 État des Lieux'!$K$11</c:f>
            </c:strRef>
          </c:cat>
          <c:val>
            <c:numRef>
              <c:f>'📊 État des Lieux'!$M$11</c:f>
              <c:numCache/>
            </c:numRef>
          </c:val>
        </c:ser>
        <c:ser>
          <c:idx val="2"/>
          <c:order val="2"/>
          <c:tx>
            <c:v>Pages 301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'📊 État des Lieux'!$K$11</c:f>
            </c:strRef>
          </c:cat>
          <c:val>
            <c:numRef>
              <c:f>'📊 État des Lieux'!$K$12</c:f>
              <c:numCache/>
            </c:numRef>
          </c:val>
        </c:ser>
        <c:ser>
          <c:idx val="3"/>
          <c:order val="3"/>
          <c:tx>
            <c:strRef>
              <c:f>'📊 État des Lieux'!$L$11</c:f>
            </c:strRef>
          </c:tx>
          <c:cat>
            <c:strRef>
              <c:f>'📊 État des Lieux'!$K$11</c:f>
            </c:strRef>
          </c:cat>
          <c:val>
            <c:numRef>
              <c:f>'📊 État des Lieux'!$L$12</c:f>
              <c:numCache/>
            </c:numRef>
          </c:val>
        </c:ser>
        <c:ser>
          <c:idx val="4"/>
          <c:order val="4"/>
          <c:tx>
            <c:strRef>
              <c:f>'📊 État des Lieux'!$M$11</c:f>
            </c:strRef>
          </c:tx>
          <c:cat>
            <c:strRef>
              <c:f>'📊 État des Lieux'!$K$11</c:f>
            </c:strRef>
          </c:cat>
          <c:val>
            <c:numRef>
              <c:f>'📊 État des Lieux'!$M$12</c:f>
              <c:numCache/>
            </c:numRef>
          </c:val>
        </c:ser>
        <c:axId val="701250336"/>
        <c:axId val="1348744228"/>
      </c:barChart>
      <c:catAx>
        <c:axId val="70125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8744228"/>
      </c:catAx>
      <c:valAx>
        <c:axId val="1348744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125033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3733800" cy="28670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0</xdr:colOff>
      <xdr:row>4</xdr:row>
      <xdr:rowOff>0</xdr:rowOff>
    </xdr:from>
    <xdr:ext cx="3429000" cy="28670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26.25"/>
    <col customWidth="1" min="3" max="3" width="36.75"/>
    <col customWidth="1" min="4" max="4" width="12.38"/>
    <col customWidth="1" min="5" max="5" width="26.25"/>
    <col customWidth="1" min="6" max="6" width="36.75"/>
    <col customWidth="1" min="7" max="26" width="7.63"/>
  </cols>
  <sheetData>
    <row r="1" ht="7.5" customHeight="1">
      <c r="A1" s="1"/>
      <c r="B1" s="1"/>
      <c r="C1" s="1"/>
      <c r="D1" s="1"/>
      <c r="E1" s="1"/>
      <c r="F1" s="1"/>
      <c r="G1" s="1"/>
    </row>
    <row r="2" ht="7.5" customHeight="1">
      <c r="A2" s="1"/>
      <c r="B2" s="1"/>
      <c r="C2" s="1"/>
      <c r="D2" s="1"/>
      <c r="E2" s="1"/>
      <c r="F2" s="1"/>
      <c r="G2" s="1"/>
    </row>
    <row r="3" ht="48.0" customHeight="1">
      <c r="A3" s="1"/>
      <c r="B3" s="2" t="s">
        <v>0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5" t="s">
        <v>1</v>
      </c>
      <c r="C5" s="6"/>
      <c r="D5" s="1"/>
      <c r="E5" s="5" t="s">
        <v>2</v>
      </c>
      <c r="F5" s="6"/>
      <c r="G5" s="1"/>
    </row>
    <row r="6" ht="21.75" customHeight="1">
      <c r="A6" s="1"/>
      <c r="B6" s="7" t="s">
        <v>3</v>
      </c>
      <c r="C6" s="8" t="s">
        <v>4</v>
      </c>
      <c r="D6" s="1"/>
      <c r="E6" s="7" t="s">
        <v>5</v>
      </c>
      <c r="F6" s="8" t="s">
        <v>6</v>
      </c>
      <c r="G6" s="1"/>
    </row>
    <row r="7" ht="21.75" customHeight="1">
      <c r="A7" s="1"/>
      <c r="B7" s="9" t="s">
        <v>7</v>
      </c>
      <c r="C7" s="10" t="s">
        <v>8</v>
      </c>
      <c r="D7" s="1"/>
      <c r="E7" s="9" t="s">
        <v>9</v>
      </c>
      <c r="F7" s="10" t="s">
        <v>10</v>
      </c>
      <c r="G7" s="1"/>
    </row>
    <row r="8" ht="21.75" customHeight="1">
      <c r="A8" s="1"/>
      <c r="B8" s="7" t="s">
        <v>11</v>
      </c>
      <c r="C8" s="8" t="s">
        <v>12</v>
      </c>
      <c r="D8" s="1"/>
      <c r="E8" s="7" t="s">
        <v>13</v>
      </c>
      <c r="F8" s="8" t="s">
        <v>14</v>
      </c>
      <c r="G8" s="1"/>
    </row>
    <row r="9" ht="21.75" customHeight="1">
      <c r="A9" s="1"/>
      <c r="B9" s="9" t="s">
        <v>15</v>
      </c>
      <c r="C9" s="10" t="s">
        <v>16</v>
      </c>
      <c r="D9" s="1"/>
      <c r="E9" s="1"/>
      <c r="F9" s="1"/>
      <c r="G9" s="1"/>
    </row>
    <row r="10">
      <c r="A10" s="1"/>
      <c r="B10" s="7" t="s">
        <v>17</v>
      </c>
      <c r="C10" s="8" t="s">
        <v>18</v>
      </c>
      <c r="D10" s="1"/>
      <c r="E10" s="1"/>
      <c r="F10" s="1"/>
      <c r="G10" s="1"/>
    </row>
    <row r="11" ht="24.0" customHeight="1">
      <c r="A11" s="1"/>
      <c r="B11" s="5" t="s">
        <v>19</v>
      </c>
      <c r="C11" s="11"/>
      <c r="D11" s="11"/>
      <c r="E11" s="11"/>
      <c r="F11" s="6"/>
      <c r="G11" s="1"/>
    </row>
    <row r="12" ht="21.75" customHeight="1">
      <c r="A12" s="1"/>
      <c r="B12" s="12" t="s">
        <v>20</v>
      </c>
      <c r="C12" s="12" t="s">
        <v>21</v>
      </c>
      <c r="D12" s="12" t="s">
        <v>22</v>
      </c>
      <c r="E12" s="12" t="s">
        <v>23</v>
      </c>
      <c r="F12" s="12" t="s">
        <v>24</v>
      </c>
      <c r="G12" s="1"/>
    </row>
    <row r="13" ht="19.5" customHeight="1">
      <c r="A13" s="1"/>
      <c r="B13" s="8" t="s">
        <v>25</v>
      </c>
      <c r="C13" s="8">
        <v>90.0</v>
      </c>
      <c r="D13" s="8" t="s">
        <v>26</v>
      </c>
      <c r="E13" s="8" t="s">
        <v>27</v>
      </c>
      <c r="F13" s="8" t="s">
        <v>28</v>
      </c>
      <c r="G13" s="1"/>
    </row>
    <row r="14" ht="19.5" customHeight="1">
      <c r="A14" s="1"/>
      <c r="B14" s="10" t="s">
        <v>29</v>
      </c>
      <c r="C14" s="10">
        <v>140.0</v>
      </c>
      <c r="D14" s="10" t="s">
        <v>26</v>
      </c>
      <c r="E14" s="10" t="s">
        <v>27</v>
      </c>
      <c r="F14" s="10" t="s">
        <v>28</v>
      </c>
      <c r="G14" s="1"/>
    </row>
    <row r="15" ht="19.5" customHeight="1">
      <c r="A15" s="1"/>
      <c r="B15" s="8" t="s">
        <v>30</v>
      </c>
      <c r="C15" s="8">
        <v>170.0</v>
      </c>
      <c r="D15" s="8" t="s">
        <v>26</v>
      </c>
      <c r="E15" s="8" t="s">
        <v>27</v>
      </c>
      <c r="F15" s="8" t="s">
        <v>28</v>
      </c>
      <c r="G15" s="1"/>
    </row>
    <row r="16" ht="19.5" customHeight="1">
      <c r="A16" s="1"/>
      <c r="B16" s="10" t="s">
        <v>31</v>
      </c>
      <c r="C16" s="10">
        <v>170.0</v>
      </c>
      <c r="D16" s="10" t="s">
        <v>26</v>
      </c>
      <c r="E16" s="10" t="s">
        <v>27</v>
      </c>
      <c r="F16" s="10" t="s">
        <v>28</v>
      </c>
      <c r="G16" s="1"/>
    </row>
    <row r="17" ht="19.5" customHeight="1">
      <c r="A17" s="1"/>
      <c r="B17" s="8" t="s">
        <v>32</v>
      </c>
      <c r="C17" s="8">
        <v>140.0</v>
      </c>
      <c r="D17" s="8" t="s">
        <v>26</v>
      </c>
      <c r="E17" s="8" t="s">
        <v>27</v>
      </c>
      <c r="F17" s="8" t="s">
        <v>28</v>
      </c>
      <c r="G17" s="1"/>
    </row>
    <row r="18" ht="19.5" customHeight="1">
      <c r="A18" s="1"/>
      <c r="B18" s="10" t="s">
        <v>33</v>
      </c>
      <c r="C18" s="10">
        <v>140.0</v>
      </c>
      <c r="D18" s="10" t="s">
        <v>26</v>
      </c>
      <c r="E18" s="10" t="s">
        <v>27</v>
      </c>
      <c r="F18" s="10" t="s">
        <v>28</v>
      </c>
      <c r="G18" s="1"/>
    </row>
    <row r="19" ht="19.5" customHeight="1">
      <c r="A19" s="1"/>
      <c r="B19" s="8" t="s">
        <v>34</v>
      </c>
      <c r="C19" s="8">
        <v>90.0</v>
      </c>
      <c r="D19" s="8" t="s">
        <v>26</v>
      </c>
      <c r="E19" s="8" t="s">
        <v>27</v>
      </c>
      <c r="F19" s="8" t="s">
        <v>35</v>
      </c>
      <c r="G19" s="1"/>
    </row>
    <row r="20" ht="19.5" customHeight="1">
      <c r="A20" s="1"/>
      <c r="B20" s="10" t="s">
        <v>36</v>
      </c>
      <c r="C20" s="10">
        <v>70.0</v>
      </c>
      <c r="D20" s="10" t="s">
        <v>26</v>
      </c>
      <c r="E20" s="10" t="s">
        <v>27</v>
      </c>
      <c r="F20" s="10" t="s">
        <v>35</v>
      </c>
      <c r="G20" s="1"/>
    </row>
    <row r="21" ht="19.5" customHeight="1">
      <c r="A21" s="1"/>
      <c r="B21" s="8" t="s">
        <v>37</v>
      </c>
      <c r="C21" s="8">
        <v>110.0</v>
      </c>
      <c r="D21" s="8" t="s">
        <v>26</v>
      </c>
      <c r="E21" s="8" t="s">
        <v>27</v>
      </c>
      <c r="F21" s="8" t="s">
        <v>28</v>
      </c>
      <c r="G21" s="1"/>
    </row>
    <row r="22" ht="19.5" customHeight="1">
      <c r="A22" s="1"/>
      <c r="B22" s="10" t="s">
        <v>38</v>
      </c>
      <c r="C22" s="10">
        <v>110.0</v>
      </c>
      <c r="D22" s="10" t="s">
        <v>26</v>
      </c>
      <c r="E22" s="10" t="s">
        <v>27</v>
      </c>
      <c r="F22" s="10" t="s">
        <v>28</v>
      </c>
      <c r="G22" s="1"/>
    </row>
    <row r="23">
      <c r="A23" s="1"/>
      <c r="B23" s="1" t="s">
        <v>39</v>
      </c>
      <c r="C23" s="1">
        <v>140.0</v>
      </c>
      <c r="D23" s="1" t="s">
        <v>26</v>
      </c>
      <c r="E23" s="1" t="s">
        <v>27</v>
      </c>
      <c r="F23" s="1" t="s">
        <v>35</v>
      </c>
      <c r="G23" s="1"/>
    </row>
    <row r="24" ht="7.5" customHeight="1">
      <c r="A24" s="1"/>
      <c r="B24" s="1" t="s">
        <v>40</v>
      </c>
      <c r="C24" s="1">
        <v>70.0</v>
      </c>
      <c r="D24" s="1" t="s">
        <v>26</v>
      </c>
      <c r="E24" s="1" t="s">
        <v>27</v>
      </c>
      <c r="F24" s="1" t="s">
        <v>35</v>
      </c>
      <c r="G24" s="1"/>
    </row>
    <row r="25" ht="15.0" customHeight="1">
      <c r="A25" s="1"/>
      <c r="B25" s="13" t="s">
        <v>41</v>
      </c>
      <c r="G25" s="1"/>
    </row>
    <row r="26">
      <c r="A26" s="1"/>
      <c r="B26" s="1"/>
      <c r="C26" s="1"/>
      <c r="D26" s="1"/>
      <c r="E26" s="1"/>
      <c r="F26" s="1"/>
      <c r="G26" s="1"/>
    </row>
    <row r="27" ht="18.0" customHeight="1">
      <c r="A27" s="1"/>
      <c r="B27" s="14" t="s">
        <v>42</v>
      </c>
      <c r="C27" s="1"/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mergeCells count="5">
    <mergeCell ref="B3:F3"/>
    <mergeCell ref="B5:C5"/>
    <mergeCell ref="E5:F5"/>
    <mergeCell ref="B11:F11"/>
    <mergeCell ref="B25:F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19.25"/>
    <col customWidth="1" min="3" max="4" width="15.75"/>
    <col customWidth="1" min="5" max="5" width="19.25"/>
    <col customWidth="1" min="6" max="7" width="15.75"/>
    <col customWidth="1" min="8" max="9" width="1.75"/>
    <col customWidth="1" min="10" max="13" width="15.75"/>
    <col customWidth="1" min="14" max="26" width="7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48.0" customHeight="1">
      <c r="A3" s="1"/>
      <c r="B3" s="2" t="s">
        <v>43</v>
      </c>
      <c r="C3" s="3"/>
      <c r="D3" s="3"/>
      <c r="E3" s="3"/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4.0" customHeight="1">
      <c r="A5" s="1"/>
      <c r="B5" s="15" t="s">
        <v>44</v>
      </c>
      <c r="C5" s="11"/>
      <c r="D5" s="11"/>
      <c r="E5" s="11"/>
      <c r="F5" s="11"/>
      <c r="G5" s="16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19.5" customHeight="1">
      <c r="A6" s="1"/>
      <c r="B6" s="17" t="s">
        <v>45</v>
      </c>
      <c r="C6" s="17" t="s">
        <v>46</v>
      </c>
      <c r="D6" s="17" t="s">
        <v>47</v>
      </c>
      <c r="E6" s="17" t="s">
        <v>48</v>
      </c>
      <c r="F6" s="17" t="s">
        <v>49</v>
      </c>
      <c r="G6" s="17" t="s">
        <v>50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ht="31.5" customHeight="1">
      <c r="A7" s="1"/>
      <c r="B7" s="18">
        <v>0.0</v>
      </c>
      <c r="C7" s="18">
        <v>0.0</v>
      </c>
      <c r="D7" s="18">
        <v>0.0</v>
      </c>
      <c r="E7" s="18">
        <v>0.0</v>
      </c>
      <c r="F7" s="18" t="s">
        <v>51</v>
      </c>
      <c r="G7" s="18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ht="15.75" customHeight="1">
      <c r="A8" s="1"/>
      <c r="B8" s="19"/>
      <c r="C8" s="19"/>
      <c r="D8" s="19"/>
      <c r="E8" s="19" t="s">
        <v>52</v>
      </c>
      <c r="F8" s="19"/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20" t="s">
        <v>53</v>
      </c>
      <c r="L9" s="20" t="s">
        <v>54</v>
      </c>
      <c r="M9" s="20" t="s">
        <v>55</v>
      </c>
      <c r="N9" s="1"/>
      <c r="O9" s="1"/>
      <c r="P9" s="1"/>
      <c r="Q9" s="1"/>
      <c r="R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20">
        <f>IF(B7="",0,MAX(0,B7))</f>
        <v>0</v>
      </c>
      <c r="L10" s="20">
        <f t="shared" ref="L10:M10" si="1">IF(C7="",0,MAX(0,C7-B7))</f>
        <v>0</v>
      </c>
      <c r="M10" s="20">
        <f t="shared" si="1"/>
        <v>0</v>
      </c>
      <c r="N10" s="1"/>
      <c r="O10" s="1"/>
      <c r="P10" s="1"/>
      <c r="Q10" s="1"/>
      <c r="R10" s="1"/>
    </row>
    <row r="11" ht="15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20" t="s">
        <v>56</v>
      </c>
      <c r="L11" s="20" t="s">
        <v>57</v>
      </c>
      <c r="M11" s="20" t="s">
        <v>58</v>
      </c>
      <c r="N11" s="1"/>
      <c r="O11" s="1"/>
      <c r="P11" s="1"/>
      <c r="Q11" s="1"/>
      <c r="R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0">
        <f t="shared" ref="K12:M12" si="2">IF(E7="",0,MAX(0,E7))</f>
        <v>0</v>
      </c>
      <c r="L12" s="20">
        <f t="shared" si="2"/>
        <v>0</v>
      </c>
      <c r="M12" s="20">
        <f t="shared" si="2"/>
        <v>0</v>
      </c>
      <c r="N12" s="1"/>
      <c r="O12" s="1"/>
      <c r="P12" s="1"/>
      <c r="Q12" s="1"/>
      <c r="R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4.0" customHeight="1">
      <c r="A14" s="1"/>
      <c r="B14" s="15" t="s">
        <v>59</v>
      </c>
      <c r="C14" s="11"/>
      <c r="D14" s="11"/>
      <c r="E14" s="11"/>
      <c r="F14" s="11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24.0" customHeight="1">
      <c r="A15" s="1"/>
      <c r="B15" s="21" t="s">
        <v>20</v>
      </c>
      <c r="C15" s="21" t="s">
        <v>21</v>
      </c>
      <c r="D15" s="21" t="s">
        <v>22</v>
      </c>
      <c r="E15" s="21" t="s">
        <v>60</v>
      </c>
      <c r="F15" s="21" t="s">
        <v>61</v>
      </c>
      <c r="G15" s="21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21.75" customHeight="1">
      <c r="A16" s="1"/>
      <c r="B16" s="22" t="s">
        <v>31</v>
      </c>
      <c r="C16" s="22">
        <v>170.0</v>
      </c>
      <c r="D16" s="22" t="s">
        <v>26</v>
      </c>
      <c r="E16" s="22" t="s">
        <v>27</v>
      </c>
      <c r="F16" s="22" t="s">
        <v>62</v>
      </c>
      <c r="G16" s="22" t="s">
        <v>28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21.75" customHeight="1">
      <c r="A17" s="1"/>
      <c r="B17" s="23" t="s">
        <v>25</v>
      </c>
      <c r="C17" s="23">
        <v>90.0</v>
      </c>
      <c r="D17" s="23" t="s">
        <v>26</v>
      </c>
      <c r="E17" s="23" t="s">
        <v>27</v>
      </c>
      <c r="F17" s="23" t="s">
        <v>53</v>
      </c>
      <c r="G17" s="23" t="s">
        <v>28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21.75" customHeight="1">
      <c r="A18" s="1"/>
      <c r="B18" s="22" t="s">
        <v>33</v>
      </c>
      <c r="C18" s="22">
        <v>140.0</v>
      </c>
      <c r="D18" s="22" t="s">
        <v>26</v>
      </c>
      <c r="E18" s="22" t="s">
        <v>27</v>
      </c>
      <c r="F18" s="22" t="s">
        <v>62</v>
      </c>
      <c r="G18" s="22" t="s">
        <v>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21.75" customHeight="1">
      <c r="A19" s="1"/>
      <c r="B19" s="23" t="s">
        <v>32</v>
      </c>
      <c r="C19" s="23">
        <v>140.0</v>
      </c>
      <c r="D19" s="23" t="s">
        <v>26</v>
      </c>
      <c r="E19" s="23" t="s">
        <v>27</v>
      </c>
      <c r="F19" s="23" t="s">
        <v>62</v>
      </c>
      <c r="G19" s="23" t="s">
        <v>28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22" t="s">
        <v>37</v>
      </c>
      <c r="C20" s="22">
        <v>110.0</v>
      </c>
      <c r="D20" s="22" t="s">
        <v>26</v>
      </c>
      <c r="E20" s="22" t="s">
        <v>27</v>
      </c>
      <c r="F20" s="22" t="s">
        <v>62</v>
      </c>
      <c r="G20" s="22" t="s">
        <v>28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1.75" customHeight="1">
      <c r="A21" s="1"/>
      <c r="B21" s="23" t="s">
        <v>38</v>
      </c>
      <c r="C21" s="23">
        <v>110.0</v>
      </c>
      <c r="D21" s="23" t="s">
        <v>26</v>
      </c>
      <c r="E21" s="23" t="s">
        <v>27</v>
      </c>
      <c r="F21" s="23" t="s">
        <v>62</v>
      </c>
      <c r="G21" s="23" t="s">
        <v>28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1.75" customHeight="1">
      <c r="A22" s="1"/>
      <c r="B22" s="22" t="s">
        <v>34</v>
      </c>
      <c r="C22" s="22">
        <v>90.0</v>
      </c>
      <c r="D22" s="22" t="s">
        <v>26</v>
      </c>
      <c r="E22" s="22" t="s">
        <v>27</v>
      </c>
      <c r="F22" s="22" t="s">
        <v>62</v>
      </c>
      <c r="G22" s="22" t="s">
        <v>35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1.75" customHeight="1">
      <c r="A23" s="1"/>
      <c r="B23" s="23" t="s">
        <v>36</v>
      </c>
      <c r="C23" s="23">
        <v>70.0</v>
      </c>
      <c r="D23" s="23" t="s">
        <v>26</v>
      </c>
      <c r="E23" s="23" t="s">
        <v>27</v>
      </c>
      <c r="F23" s="23" t="s">
        <v>62</v>
      </c>
      <c r="G23" s="23" t="s">
        <v>35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1.75" customHeight="1">
      <c r="A24" s="1"/>
      <c r="B24" s="22" t="s">
        <v>39</v>
      </c>
      <c r="C24" s="22">
        <v>140.0</v>
      </c>
      <c r="D24" s="22" t="s">
        <v>26</v>
      </c>
      <c r="E24" s="22" t="s">
        <v>27</v>
      </c>
      <c r="F24" s="22" t="s">
        <v>63</v>
      </c>
      <c r="G24" s="22" t="s">
        <v>35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21.75" customHeight="1">
      <c r="A25" s="1"/>
      <c r="B25" s="23" t="s">
        <v>40</v>
      </c>
      <c r="C25" s="23">
        <v>70.0</v>
      </c>
      <c r="D25" s="23" t="s">
        <v>26</v>
      </c>
      <c r="E25" s="23" t="s">
        <v>27</v>
      </c>
      <c r="F25" s="23" t="s">
        <v>63</v>
      </c>
      <c r="G25" s="23" t="s">
        <v>35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24.0" customHeight="1">
      <c r="A28" s="1"/>
      <c r="B28" s="15" t="s">
        <v>64</v>
      </c>
      <c r="C28" s="11"/>
      <c r="D28" s="11"/>
      <c r="E28" s="11"/>
      <c r="F28" s="11"/>
      <c r="G28" s="1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24.0" customHeight="1">
      <c r="A29" s="1"/>
      <c r="B29" s="21" t="s">
        <v>65</v>
      </c>
      <c r="C29" s="21" t="s">
        <v>66</v>
      </c>
      <c r="D29" s="21" t="s">
        <v>67</v>
      </c>
      <c r="E29" s="21" t="s">
        <v>68</v>
      </c>
      <c r="F29" s="21" t="s">
        <v>69</v>
      </c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21.75" customHeight="1">
      <c r="A30" s="1"/>
      <c r="B30" s="22" t="s">
        <v>8</v>
      </c>
      <c r="C30" s="22" t="s">
        <v>70</v>
      </c>
      <c r="D30" s="22" t="s">
        <v>71</v>
      </c>
      <c r="E30" s="22" t="s">
        <v>71</v>
      </c>
      <c r="F30" s="22" t="s">
        <v>72</v>
      </c>
      <c r="G30" s="2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21.75" customHeight="1">
      <c r="A31" s="1"/>
      <c r="B31" s="23" t="s">
        <v>73</v>
      </c>
      <c r="C31" s="23" t="s">
        <v>70</v>
      </c>
      <c r="D31" s="23" t="s">
        <v>71</v>
      </c>
      <c r="E31" s="23" t="s">
        <v>71</v>
      </c>
      <c r="F31" s="23" t="s">
        <v>74</v>
      </c>
      <c r="G31" s="2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21.75" customHeight="1">
      <c r="A32" s="1"/>
      <c r="B32" s="22" t="s">
        <v>75</v>
      </c>
      <c r="C32" s="22" t="s">
        <v>70</v>
      </c>
      <c r="D32" s="22" t="s">
        <v>71</v>
      </c>
      <c r="E32" s="22" t="s">
        <v>71</v>
      </c>
      <c r="F32" s="22" t="s">
        <v>76</v>
      </c>
      <c r="G32" s="2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23" t="s">
        <v>77</v>
      </c>
      <c r="C33" s="23" t="s">
        <v>70</v>
      </c>
      <c r="D33" s="23" t="s">
        <v>71</v>
      </c>
      <c r="E33" s="23" t="s">
        <v>71</v>
      </c>
      <c r="F33" s="23" t="s">
        <v>78</v>
      </c>
      <c r="G33" s="2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21.75" customHeight="1">
      <c r="A34" s="1"/>
      <c r="B34" s="22" t="s">
        <v>79</v>
      </c>
      <c r="C34" s="22" t="s">
        <v>70</v>
      </c>
      <c r="D34" s="22" t="s">
        <v>71</v>
      </c>
      <c r="E34" s="22" t="s">
        <v>71</v>
      </c>
      <c r="F34" s="22" t="s">
        <v>80</v>
      </c>
      <c r="G34" s="2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1.75" customHeight="1">
      <c r="A35" s="1"/>
      <c r="B35" s="23" t="s">
        <v>81</v>
      </c>
      <c r="C35" s="23" t="s">
        <v>70</v>
      </c>
      <c r="D35" s="23" t="s">
        <v>71</v>
      </c>
      <c r="E35" s="23" t="s">
        <v>71</v>
      </c>
      <c r="F35" s="23" t="s">
        <v>82</v>
      </c>
      <c r="G35" s="2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1.75" customHeight="1">
      <c r="A36" s="1"/>
      <c r="B36" s="22" t="s">
        <v>83</v>
      </c>
      <c r="C36" s="22" t="s">
        <v>70</v>
      </c>
      <c r="D36" s="22" t="s">
        <v>71</v>
      </c>
      <c r="E36" s="22" t="s">
        <v>71</v>
      </c>
      <c r="F36" s="22" t="s">
        <v>84</v>
      </c>
      <c r="G36" s="2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1.75" customHeight="1">
      <c r="A37" s="1"/>
      <c r="B37" s="23" t="s">
        <v>85</v>
      </c>
      <c r="C37" s="23" t="s">
        <v>70</v>
      </c>
      <c r="D37" s="23" t="s">
        <v>71</v>
      </c>
      <c r="E37" s="23" t="s">
        <v>71</v>
      </c>
      <c r="F37" s="23" t="s">
        <v>86</v>
      </c>
      <c r="G37" s="2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8.0" customHeight="1">
      <c r="A39" s="1"/>
      <c r="B39" s="14" t="s">
        <v>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4">
    <mergeCell ref="B3:G3"/>
    <mergeCell ref="B5:G5"/>
    <mergeCell ref="B14:G14"/>
    <mergeCell ref="B28:G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22.75"/>
    <col customWidth="1" min="3" max="6" width="14.0"/>
    <col customWidth="1" min="7" max="8" width="1.75"/>
    <col customWidth="1" min="9" max="12" width="15.75"/>
    <col customWidth="1" min="13" max="26" width="7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4.0" customHeight="1">
      <c r="A5" s="1"/>
      <c r="B5" s="5" t="s">
        <v>88</v>
      </c>
      <c r="C5" s="11"/>
      <c r="D5" s="11"/>
      <c r="E5" s="11"/>
      <c r="F5" s="6"/>
      <c r="G5" s="1"/>
      <c r="H5" s="1"/>
      <c r="I5" s="1"/>
      <c r="J5" s="1"/>
      <c r="K5" s="1"/>
      <c r="L5" s="1"/>
    </row>
    <row r="6" ht="21.75" customHeight="1">
      <c r="A6" s="1"/>
      <c r="B6" s="12" t="s">
        <v>89</v>
      </c>
      <c r="C6" s="12" t="s">
        <v>90</v>
      </c>
      <c r="D6" s="12" t="s">
        <v>91</v>
      </c>
      <c r="E6" s="12" t="s">
        <v>92</v>
      </c>
      <c r="F6" s="12" t="s">
        <v>93</v>
      </c>
      <c r="G6" s="1"/>
      <c r="H6" s="1"/>
      <c r="I6" s="1"/>
      <c r="J6" s="1"/>
      <c r="K6" s="1"/>
      <c r="L6" s="1"/>
    </row>
    <row r="7" ht="39.75" customHeight="1">
      <c r="A7" s="1"/>
      <c r="B7" s="7" t="s">
        <v>94</v>
      </c>
      <c r="C7" s="8" t="s">
        <v>95</v>
      </c>
      <c r="D7" s="8" t="s">
        <v>96</v>
      </c>
      <c r="E7" s="8" t="s">
        <v>97</v>
      </c>
      <c r="F7" s="8" t="s">
        <v>98</v>
      </c>
      <c r="G7" s="1"/>
      <c r="H7" s="1"/>
      <c r="I7" s="1"/>
      <c r="J7" s="1"/>
      <c r="K7" s="1"/>
      <c r="L7" s="1"/>
    </row>
    <row r="8" ht="39.75" customHeight="1">
      <c r="A8" s="1"/>
      <c r="B8" s="9" t="s">
        <v>99</v>
      </c>
      <c r="C8" s="10" t="s">
        <v>100</v>
      </c>
      <c r="D8" s="10" t="s">
        <v>101</v>
      </c>
      <c r="E8" s="10" t="s">
        <v>102</v>
      </c>
      <c r="F8" s="10" t="s">
        <v>103</v>
      </c>
      <c r="G8" s="1"/>
      <c r="H8" s="1"/>
      <c r="I8" s="1"/>
      <c r="J8" s="1"/>
      <c r="K8" s="1"/>
      <c r="L8" s="1"/>
    </row>
    <row r="9" ht="39.75" customHeight="1">
      <c r="A9" s="1"/>
      <c r="B9" s="7" t="s">
        <v>104</v>
      </c>
      <c r="C9" s="8" t="s">
        <v>105</v>
      </c>
      <c r="D9" s="8" t="s">
        <v>106</v>
      </c>
      <c r="E9" s="8" t="s">
        <v>107</v>
      </c>
      <c r="F9" s="8" t="s">
        <v>108</v>
      </c>
      <c r="G9" s="1"/>
      <c r="H9" s="1"/>
      <c r="I9" s="1"/>
      <c r="J9" s="1"/>
      <c r="K9" s="1"/>
      <c r="L9" s="1"/>
    </row>
    <row r="10" ht="39.75" customHeight="1">
      <c r="A10" s="1"/>
      <c r="B10" s="9" t="s">
        <v>109</v>
      </c>
      <c r="C10" s="10" t="s">
        <v>110</v>
      </c>
      <c r="D10" s="10" t="s">
        <v>111</v>
      </c>
      <c r="E10" s="10" t="s">
        <v>112</v>
      </c>
      <c r="F10" s="10" t="s">
        <v>113</v>
      </c>
      <c r="G10" s="1"/>
      <c r="H10" s="1"/>
      <c r="I10" s="1"/>
      <c r="J10" s="1"/>
      <c r="K10" s="1"/>
      <c r="L10" s="1"/>
    </row>
    <row r="11" ht="39.75" customHeight="1">
      <c r="A11" s="1"/>
      <c r="B11" s="7" t="s">
        <v>114</v>
      </c>
      <c r="C11" s="8" t="s">
        <v>115</v>
      </c>
      <c r="D11" s="8" t="s">
        <v>116</v>
      </c>
      <c r="E11" s="8" t="s">
        <v>117</v>
      </c>
      <c r="F11" s="8" t="s">
        <v>118</v>
      </c>
      <c r="G11" s="1"/>
      <c r="H11" s="1"/>
      <c r="I11" s="1"/>
      <c r="J11" s="1"/>
      <c r="K11" s="1"/>
      <c r="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4.0" customHeight="1">
      <c r="A14" s="1"/>
      <c r="B14" s="5" t="s">
        <v>119</v>
      </c>
      <c r="C14" s="11"/>
      <c r="D14" s="11"/>
      <c r="E14" s="11"/>
      <c r="F14" s="6"/>
      <c r="G14" s="1"/>
      <c r="H14" s="1"/>
      <c r="I14" s="1"/>
      <c r="J14" s="1"/>
      <c r="K14" s="1"/>
      <c r="L14" s="1"/>
    </row>
    <row r="15" ht="21.75" customHeight="1">
      <c r="A15" s="1"/>
      <c r="B15" s="12" t="s">
        <v>120</v>
      </c>
      <c r="C15" s="12" t="s">
        <v>121</v>
      </c>
      <c r="D15" s="12" t="s">
        <v>122</v>
      </c>
      <c r="E15" s="12" t="s">
        <v>123</v>
      </c>
      <c r="F15" s="12" t="s">
        <v>124</v>
      </c>
      <c r="G15" s="1"/>
      <c r="H15" s="1"/>
      <c r="I15" s="1"/>
      <c r="J15" s="1"/>
      <c r="K15" s="1"/>
      <c r="L15" s="1"/>
    </row>
    <row r="16" ht="21.75" customHeight="1">
      <c r="A16" s="1"/>
      <c r="B16" s="8" t="s">
        <v>125</v>
      </c>
      <c r="C16" s="8" t="s">
        <v>126</v>
      </c>
      <c r="D16" s="8" t="s">
        <v>127</v>
      </c>
      <c r="E16" s="8" t="s">
        <v>128</v>
      </c>
      <c r="F16" s="8" t="s">
        <v>129</v>
      </c>
      <c r="G16" s="1"/>
      <c r="H16" s="1"/>
      <c r="I16" s="1"/>
      <c r="J16" s="1"/>
      <c r="K16" s="1"/>
      <c r="L16" s="1"/>
    </row>
    <row r="17" ht="21.75" customHeight="1">
      <c r="A17" s="1"/>
      <c r="B17" s="10" t="s">
        <v>130</v>
      </c>
      <c r="C17" s="10" t="s">
        <v>131</v>
      </c>
      <c r="D17" s="10" t="s">
        <v>132</v>
      </c>
      <c r="E17" s="10" t="s">
        <v>133</v>
      </c>
      <c r="F17" s="10" t="s">
        <v>134</v>
      </c>
      <c r="G17" s="1"/>
      <c r="H17" s="1"/>
      <c r="I17" s="1"/>
      <c r="J17" s="1"/>
      <c r="K17" s="1"/>
      <c r="L17" s="1"/>
    </row>
    <row r="18" ht="21.75" customHeight="1">
      <c r="A18" s="1"/>
      <c r="B18" s="8" t="s">
        <v>32</v>
      </c>
      <c r="C18" s="8" t="s">
        <v>135</v>
      </c>
      <c r="D18" s="8" t="s">
        <v>136</v>
      </c>
      <c r="E18" s="8" t="s">
        <v>137</v>
      </c>
      <c r="F18" s="8" t="s">
        <v>138</v>
      </c>
      <c r="G18" s="1"/>
      <c r="H18" s="1"/>
      <c r="I18" s="1"/>
      <c r="J18" s="1"/>
      <c r="K18" s="1"/>
      <c r="L18" s="1"/>
    </row>
    <row r="19" ht="21.75" customHeight="1">
      <c r="A19" s="1"/>
      <c r="B19" s="10" t="s">
        <v>33</v>
      </c>
      <c r="C19" s="10" t="s">
        <v>135</v>
      </c>
      <c r="D19" s="10" t="s">
        <v>132</v>
      </c>
      <c r="E19" s="10" t="s">
        <v>139</v>
      </c>
      <c r="F19" s="10" t="s">
        <v>140</v>
      </c>
      <c r="G19" s="1"/>
      <c r="H19" s="1"/>
      <c r="I19" s="1"/>
      <c r="J19" s="1"/>
      <c r="K19" s="1"/>
      <c r="L19" s="1"/>
    </row>
    <row r="20" ht="21.75" customHeight="1">
      <c r="A20" s="1"/>
      <c r="B20" s="8" t="s">
        <v>34</v>
      </c>
      <c r="C20" s="8" t="s">
        <v>141</v>
      </c>
      <c r="D20" s="8" t="s">
        <v>142</v>
      </c>
      <c r="E20" s="8" t="s">
        <v>133</v>
      </c>
      <c r="F20" s="8" t="s">
        <v>143</v>
      </c>
      <c r="G20" s="1"/>
      <c r="H20" s="1"/>
      <c r="I20" s="1"/>
      <c r="J20" s="1"/>
      <c r="K20" s="1"/>
      <c r="L20" s="1"/>
    </row>
    <row r="21" ht="21.75" customHeight="1">
      <c r="A21" s="1"/>
      <c r="B21" s="10" t="s">
        <v>31</v>
      </c>
      <c r="C21" s="10" t="s">
        <v>144</v>
      </c>
      <c r="D21" s="10" t="s">
        <v>145</v>
      </c>
      <c r="E21" s="10" t="s">
        <v>146</v>
      </c>
      <c r="F21" s="10" t="s">
        <v>147</v>
      </c>
      <c r="G21" s="1"/>
      <c r="H21" s="1"/>
      <c r="I21" s="1"/>
      <c r="J21" s="1"/>
      <c r="K21" s="1"/>
      <c r="L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ht="18.0" customHeight="1">
      <c r="A23" s="1"/>
      <c r="B23" s="14" t="s">
        <v>42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</sheetData>
  <mergeCells count="2">
    <mergeCell ref="B5:F5"/>
    <mergeCell ref="B14:F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24.5"/>
    <col customWidth="1" min="3" max="3" width="19.25"/>
    <col customWidth="1" min="4" max="5" width="15.75"/>
    <col customWidth="1" min="6" max="7" width="19.25"/>
    <col customWidth="1" min="8" max="26" width="7.63"/>
  </cols>
  <sheetData>
    <row r="1" ht="7.5" customHeight="1">
      <c r="A1" s="1"/>
      <c r="B1" s="1"/>
      <c r="C1" s="1"/>
      <c r="D1" s="1"/>
      <c r="E1" s="1"/>
      <c r="F1" s="1"/>
      <c r="G1" s="1"/>
      <c r="H1" s="1"/>
    </row>
    <row r="2" ht="7.5" customHeight="1">
      <c r="A2" s="1"/>
      <c r="B2" s="1"/>
      <c r="C2" s="1"/>
      <c r="D2" s="1"/>
      <c r="E2" s="1"/>
      <c r="F2" s="1"/>
      <c r="G2" s="1"/>
      <c r="H2" s="1"/>
    </row>
    <row r="3" ht="48.0" customHeight="1">
      <c r="A3" s="1"/>
      <c r="B3" s="2" t="s">
        <v>148</v>
      </c>
      <c r="C3" s="3"/>
      <c r="D3" s="3"/>
      <c r="E3" s="3"/>
      <c r="F3" s="3"/>
      <c r="G3" s="4"/>
      <c r="H3" s="1"/>
    </row>
    <row r="4" ht="7.5" customHeight="1">
      <c r="A4" s="1"/>
      <c r="B4" s="1"/>
      <c r="C4" s="1"/>
      <c r="D4" s="1"/>
      <c r="E4" s="1"/>
      <c r="F4" s="1"/>
      <c r="G4" s="1"/>
      <c r="H4" s="1"/>
    </row>
    <row r="5" ht="24.0" customHeight="1">
      <c r="A5" s="1"/>
      <c r="B5" s="5" t="s">
        <v>149</v>
      </c>
      <c r="C5" s="11"/>
      <c r="D5" s="11"/>
      <c r="E5" s="11"/>
      <c r="F5" s="11"/>
      <c r="G5" s="6"/>
      <c r="H5" s="1"/>
    </row>
    <row r="6" ht="27.75" customHeight="1">
      <c r="A6" s="1"/>
      <c r="B6" s="24" t="s">
        <v>150</v>
      </c>
      <c r="C6" s="24" t="s">
        <v>151</v>
      </c>
      <c r="D6" s="24" t="s">
        <v>152</v>
      </c>
      <c r="E6" s="24" t="s">
        <v>153</v>
      </c>
      <c r="F6" s="24" t="s">
        <v>154</v>
      </c>
      <c r="G6" s="24" t="s">
        <v>155</v>
      </c>
      <c r="H6" s="1"/>
    </row>
    <row r="7" ht="21.75" customHeight="1">
      <c r="A7" s="1"/>
      <c r="B7" s="8" t="s">
        <v>156</v>
      </c>
      <c r="C7" s="8" t="s">
        <v>157</v>
      </c>
      <c r="D7" s="8" t="s">
        <v>70</v>
      </c>
      <c r="E7" s="8" t="s">
        <v>158</v>
      </c>
      <c r="F7" s="8" t="s">
        <v>159</v>
      </c>
      <c r="G7" s="8" t="s">
        <v>160</v>
      </c>
      <c r="H7" s="1"/>
    </row>
    <row r="8" ht="21.75" customHeight="1">
      <c r="A8" s="1"/>
      <c r="B8" s="10" t="s">
        <v>161</v>
      </c>
      <c r="C8" s="10" t="s">
        <v>162</v>
      </c>
      <c r="D8" s="10" t="s">
        <v>70</v>
      </c>
      <c r="E8" s="10" t="s">
        <v>163</v>
      </c>
      <c r="F8" s="10" t="s">
        <v>164</v>
      </c>
      <c r="G8" s="10" t="s">
        <v>165</v>
      </c>
      <c r="H8" s="1"/>
    </row>
    <row r="9" ht="21.75" customHeight="1">
      <c r="A9" s="1"/>
      <c r="B9" s="8" t="s">
        <v>166</v>
      </c>
      <c r="C9" s="8" t="s">
        <v>167</v>
      </c>
      <c r="D9" s="8" t="s">
        <v>70</v>
      </c>
      <c r="E9" s="8" t="s">
        <v>168</v>
      </c>
      <c r="F9" s="8" t="s">
        <v>164</v>
      </c>
      <c r="G9" s="8" t="s">
        <v>165</v>
      </c>
      <c r="H9" s="1"/>
    </row>
    <row r="10" ht="21.75" customHeight="1">
      <c r="A10" s="1"/>
      <c r="B10" s="10" t="s">
        <v>169</v>
      </c>
      <c r="C10" s="10" t="s">
        <v>170</v>
      </c>
      <c r="D10" s="10" t="s">
        <v>70</v>
      </c>
      <c r="E10" s="10" t="s">
        <v>171</v>
      </c>
      <c r="F10" s="10" t="s">
        <v>172</v>
      </c>
      <c r="G10" s="10" t="s">
        <v>165</v>
      </c>
      <c r="H10" s="1"/>
    </row>
    <row r="11">
      <c r="A11" s="1"/>
      <c r="B11" s="1" t="s">
        <v>173</v>
      </c>
      <c r="C11" s="1" t="s">
        <v>174</v>
      </c>
      <c r="D11" s="1" t="s">
        <v>70</v>
      </c>
      <c r="E11" s="1" t="s">
        <v>171</v>
      </c>
      <c r="F11" s="1" t="s">
        <v>172</v>
      </c>
      <c r="G11" s="1" t="s">
        <v>175</v>
      </c>
      <c r="H11" s="1"/>
    </row>
    <row r="12" ht="7.5" customHeight="1">
      <c r="A12" s="1"/>
      <c r="B12" s="1"/>
      <c r="C12" s="1"/>
      <c r="D12" s="1"/>
      <c r="E12" s="1"/>
      <c r="F12" s="1"/>
      <c r="G12" s="1"/>
      <c r="H12" s="1"/>
    </row>
    <row r="13" ht="24.0" customHeight="1">
      <c r="A13" s="1"/>
      <c r="B13" s="5" t="s">
        <v>176</v>
      </c>
      <c r="C13" s="11"/>
      <c r="D13" s="11"/>
      <c r="E13" s="11"/>
      <c r="F13" s="11"/>
      <c r="G13" s="6"/>
      <c r="H13" s="1"/>
    </row>
    <row r="14" ht="27.75" customHeight="1">
      <c r="A14" s="1"/>
      <c r="B14" s="24" t="s">
        <v>177</v>
      </c>
      <c r="C14" s="24" t="s">
        <v>178</v>
      </c>
      <c r="D14" s="24" t="s">
        <v>179</v>
      </c>
      <c r="E14" s="24" t="s">
        <v>180</v>
      </c>
      <c r="F14" s="24" t="s">
        <v>181</v>
      </c>
      <c r="G14" s="24" t="s">
        <v>182</v>
      </c>
      <c r="H14" s="1"/>
    </row>
    <row r="15" ht="21.75" customHeight="1">
      <c r="A15" s="1"/>
      <c r="B15" s="8" t="s">
        <v>183</v>
      </c>
      <c r="C15" s="8" t="s">
        <v>184</v>
      </c>
      <c r="D15" s="8" t="s">
        <v>158</v>
      </c>
      <c r="E15" s="8" t="s">
        <v>185</v>
      </c>
      <c r="F15" s="8" t="s">
        <v>186</v>
      </c>
      <c r="G15" s="8" t="s">
        <v>187</v>
      </c>
      <c r="H15" s="1"/>
    </row>
    <row r="16" ht="21.75" customHeight="1">
      <c r="A16" s="1"/>
      <c r="B16" s="10" t="s">
        <v>188</v>
      </c>
      <c r="C16" s="10" t="s">
        <v>189</v>
      </c>
      <c r="D16" s="10" t="s">
        <v>190</v>
      </c>
      <c r="E16" s="10" t="s">
        <v>191</v>
      </c>
      <c r="F16" s="10" t="s">
        <v>192</v>
      </c>
      <c r="G16" s="10" t="s">
        <v>187</v>
      </c>
      <c r="H16" s="1"/>
    </row>
    <row r="17" ht="21.75" customHeight="1">
      <c r="A17" s="1"/>
      <c r="B17" s="8" t="s">
        <v>193</v>
      </c>
      <c r="C17" s="8" t="s">
        <v>194</v>
      </c>
      <c r="D17" s="8" t="s">
        <v>195</v>
      </c>
      <c r="E17" s="8" t="s">
        <v>196</v>
      </c>
      <c r="F17" s="8" t="s">
        <v>197</v>
      </c>
      <c r="G17" s="8" t="s">
        <v>198</v>
      </c>
      <c r="H17" s="1"/>
    </row>
    <row r="18" ht="21.75" customHeight="1">
      <c r="A18" s="1"/>
      <c r="B18" s="10" t="s">
        <v>199</v>
      </c>
      <c r="C18" s="10" t="s">
        <v>200</v>
      </c>
      <c r="D18" s="10" t="s">
        <v>158</v>
      </c>
      <c r="E18" s="10" t="s">
        <v>201</v>
      </c>
      <c r="F18" s="10" t="s">
        <v>202</v>
      </c>
      <c r="G18" s="10" t="s">
        <v>203</v>
      </c>
      <c r="H18" s="1"/>
    </row>
    <row r="19" ht="21.75" customHeight="1">
      <c r="A19" s="1"/>
      <c r="B19" s="8" t="s">
        <v>204</v>
      </c>
      <c r="C19" s="8" t="s">
        <v>205</v>
      </c>
      <c r="D19" s="8" t="s">
        <v>206</v>
      </c>
      <c r="E19" s="8" t="s">
        <v>191</v>
      </c>
      <c r="F19" s="8" t="s">
        <v>207</v>
      </c>
      <c r="G19" s="8" t="s">
        <v>187</v>
      </c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7.5" customHeight="1">
      <c r="A21" s="1"/>
      <c r="B21" s="1"/>
      <c r="C21" s="1"/>
      <c r="D21" s="1"/>
      <c r="E21" s="1"/>
      <c r="F21" s="1"/>
      <c r="G21" s="1"/>
      <c r="H21" s="1"/>
    </row>
    <row r="22" ht="24.0" customHeight="1">
      <c r="A22" s="1"/>
      <c r="B22" s="5" t="s">
        <v>208</v>
      </c>
      <c r="C22" s="11"/>
      <c r="D22" s="11"/>
      <c r="E22" s="11"/>
      <c r="F22" s="11"/>
      <c r="G22" s="6"/>
      <c r="H22" s="1"/>
    </row>
    <row r="23" ht="27.75" customHeight="1">
      <c r="A23" s="1"/>
      <c r="B23" s="24" t="s">
        <v>209</v>
      </c>
      <c r="C23" s="24" t="s">
        <v>210</v>
      </c>
      <c r="D23" s="24" t="s">
        <v>211</v>
      </c>
      <c r="E23" s="24" t="s">
        <v>212</v>
      </c>
      <c r="F23" s="24" t="s">
        <v>213</v>
      </c>
      <c r="G23" s="24" t="s">
        <v>214</v>
      </c>
      <c r="H23" s="1"/>
    </row>
    <row r="24" ht="21.75" customHeight="1">
      <c r="A24" s="1"/>
      <c r="B24" s="8" t="s">
        <v>215</v>
      </c>
      <c r="C24" s="8" t="s">
        <v>216</v>
      </c>
      <c r="D24" s="8"/>
      <c r="E24" s="8" t="s">
        <v>217</v>
      </c>
      <c r="F24" s="8" t="s">
        <v>141</v>
      </c>
      <c r="G24" s="8" t="s">
        <v>218</v>
      </c>
      <c r="H24" s="1"/>
    </row>
    <row r="25" ht="21.75" customHeight="1">
      <c r="A25" s="1"/>
      <c r="B25" s="10"/>
      <c r="C25" s="10" t="s">
        <v>219</v>
      </c>
      <c r="D25" s="10"/>
      <c r="E25" s="10" t="s">
        <v>33</v>
      </c>
      <c r="F25" s="10" t="s">
        <v>135</v>
      </c>
      <c r="G25" s="10" t="s">
        <v>220</v>
      </c>
      <c r="H25" s="1"/>
    </row>
    <row r="26" ht="21.75" customHeight="1">
      <c r="A26" s="1"/>
      <c r="B26" s="8"/>
      <c r="C26" s="8" t="s">
        <v>221</v>
      </c>
      <c r="D26" s="8"/>
      <c r="E26" s="8" t="s">
        <v>34</v>
      </c>
      <c r="F26" s="8" t="s">
        <v>141</v>
      </c>
      <c r="G26" s="8" t="s">
        <v>220</v>
      </c>
      <c r="H26" s="1"/>
    </row>
    <row r="27" ht="21.75" customHeight="1">
      <c r="A27" s="1"/>
      <c r="B27" s="10"/>
      <c r="C27" s="10" t="s">
        <v>222</v>
      </c>
      <c r="D27" s="10"/>
      <c r="E27" s="10" t="s">
        <v>32</v>
      </c>
      <c r="F27" s="10" t="s">
        <v>135</v>
      </c>
      <c r="G27" s="10" t="s">
        <v>220</v>
      </c>
      <c r="H27" s="1"/>
    </row>
    <row r="28" ht="21.75" customHeight="1">
      <c r="A28" s="1"/>
      <c r="B28" s="8"/>
      <c r="C28" s="8" t="s">
        <v>223</v>
      </c>
      <c r="D28" s="8"/>
      <c r="E28" s="8" t="s">
        <v>224</v>
      </c>
      <c r="F28" s="8" t="s">
        <v>225</v>
      </c>
      <c r="G28" s="8" t="s">
        <v>220</v>
      </c>
      <c r="H28" s="1"/>
    </row>
    <row r="29" ht="21.75" customHeight="1">
      <c r="A29" s="1"/>
      <c r="B29" s="10" t="s">
        <v>226</v>
      </c>
      <c r="C29" s="10" t="s">
        <v>227</v>
      </c>
      <c r="D29" s="10"/>
      <c r="E29" s="10" t="s">
        <v>30</v>
      </c>
      <c r="F29" s="10" t="s">
        <v>144</v>
      </c>
      <c r="G29" s="10" t="s">
        <v>218</v>
      </c>
      <c r="H29" s="1"/>
    </row>
    <row r="30" ht="21.75" customHeight="1">
      <c r="A30" s="1"/>
      <c r="B30" s="8"/>
      <c r="C30" s="8" t="s">
        <v>228</v>
      </c>
      <c r="D30" s="8"/>
      <c r="E30" s="8" t="s">
        <v>31</v>
      </c>
      <c r="F30" s="8" t="s">
        <v>144</v>
      </c>
      <c r="G30" s="8" t="s">
        <v>229</v>
      </c>
      <c r="H30" s="1"/>
    </row>
    <row r="31" ht="21.75" customHeight="1">
      <c r="A31" s="1"/>
      <c r="B31" s="10"/>
      <c r="C31" s="10" t="s">
        <v>230</v>
      </c>
      <c r="D31" s="10"/>
      <c r="E31" s="10" t="s">
        <v>231</v>
      </c>
      <c r="F31" s="10" t="s">
        <v>225</v>
      </c>
      <c r="G31" s="10" t="s">
        <v>229</v>
      </c>
      <c r="H31" s="1"/>
    </row>
    <row r="32" ht="21.75" customHeight="1">
      <c r="A32" s="1"/>
      <c r="B32" s="8" t="s">
        <v>232</v>
      </c>
      <c r="C32" s="8" t="s">
        <v>233</v>
      </c>
      <c r="D32" s="8"/>
      <c r="E32" s="8" t="s">
        <v>234</v>
      </c>
      <c r="F32" s="8" t="s">
        <v>235</v>
      </c>
      <c r="G32" s="8" t="s">
        <v>218</v>
      </c>
      <c r="H32" s="1"/>
    </row>
    <row r="33" ht="21.75" customHeight="1">
      <c r="A33" s="1"/>
      <c r="B33" s="10"/>
      <c r="C33" s="10" t="s">
        <v>236</v>
      </c>
      <c r="D33" s="10"/>
      <c r="E33" s="10" t="s">
        <v>40</v>
      </c>
      <c r="F33" s="10" t="s">
        <v>237</v>
      </c>
      <c r="G33" s="10" t="s">
        <v>220</v>
      </c>
      <c r="H33" s="1"/>
    </row>
    <row r="34" ht="21.75" customHeight="1">
      <c r="A34" s="1"/>
      <c r="B34" s="8"/>
      <c r="C34" s="8" t="s">
        <v>238</v>
      </c>
      <c r="D34" s="8"/>
      <c r="E34" s="8" t="s">
        <v>239</v>
      </c>
      <c r="F34" s="8" t="s">
        <v>144</v>
      </c>
      <c r="G34" s="8" t="s">
        <v>220</v>
      </c>
      <c r="H34" s="1"/>
    </row>
    <row r="35" ht="21.75" customHeight="1">
      <c r="A35" s="1"/>
      <c r="B35" s="10"/>
      <c r="C35" s="10"/>
      <c r="D35" s="10"/>
      <c r="E35" s="10"/>
      <c r="F35" s="10"/>
      <c r="G35" s="10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 ht="7.5" customHeight="1">
      <c r="A37" s="1"/>
      <c r="B37" s="1"/>
      <c r="C37" s="1"/>
      <c r="D37" s="1"/>
      <c r="E37" s="1"/>
      <c r="F37" s="1"/>
      <c r="G37" s="1"/>
      <c r="H37" s="1"/>
    </row>
    <row r="38" ht="24.0" customHeight="1">
      <c r="A38" s="1"/>
      <c r="B38" s="5" t="s">
        <v>240</v>
      </c>
      <c r="C38" s="11"/>
      <c r="D38" s="11"/>
      <c r="E38" s="11"/>
      <c r="F38" s="11"/>
      <c r="G38" s="6"/>
      <c r="H38" s="1"/>
    </row>
    <row r="39" ht="27.75" customHeight="1">
      <c r="A39" s="1"/>
      <c r="B39" s="24" t="s">
        <v>241</v>
      </c>
      <c r="C39" s="24" t="s">
        <v>242</v>
      </c>
      <c r="D39" s="24" t="s">
        <v>21</v>
      </c>
      <c r="E39" s="24" t="s">
        <v>180</v>
      </c>
      <c r="F39" s="24" t="s">
        <v>243</v>
      </c>
      <c r="G39" s="24" t="s">
        <v>24</v>
      </c>
      <c r="H39" s="1"/>
    </row>
    <row r="40" ht="21.75" customHeight="1">
      <c r="A40" s="1"/>
      <c r="B40" s="8"/>
      <c r="C40" s="8"/>
      <c r="D40" s="8"/>
      <c r="E40" s="8"/>
      <c r="F40" s="8"/>
      <c r="G40" s="8"/>
      <c r="H40" s="1"/>
    </row>
    <row r="41" ht="21.75" customHeight="1">
      <c r="A41" s="1"/>
      <c r="B41" s="10"/>
      <c r="C41" s="10"/>
      <c r="D41" s="10"/>
      <c r="E41" s="10"/>
      <c r="F41" s="10"/>
      <c r="G41" s="10"/>
      <c r="H41" s="1"/>
    </row>
    <row r="42" ht="21.75" customHeight="1">
      <c r="A42" s="1"/>
      <c r="B42" s="8"/>
      <c r="C42" s="8"/>
      <c r="D42" s="8"/>
      <c r="E42" s="8"/>
      <c r="F42" s="8"/>
      <c r="G42" s="8"/>
      <c r="H42" s="1"/>
    </row>
    <row r="43" ht="21.75" customHeight="1">
      <c r="A43" s="1"/>
      <c r="B43" s="10"/>
      <c r="C43" s="10"/>
      <c r="D43" s="10"/>
      <c r="E43" s="10"/>
      <c r="F43" s="10"/>
      <c r="G43" s="10"/>
      <c r="H43" s="1"/>
    </row>
    <row r="44" ht="21.75" customHeight="1">
      <c r="A44" s="1"/>
      <c r="B44" s="8"/>
      <c r="C44" s="8"/>
      <c r="D44" s="8"/>
      <c r="E44" s="8"/>
      <c r="F44" s="8"/>
      <c r="G44" s="8"/>
      <c r="H44" s="1"/>
    </row>
    <row r="45" ht="21.75" customHeight="1">
      <c r="A45" s="1"/>
      <c r="B45" s="10"/>
      <c r="C45" s="10"/>
      <c r="D45" s="10"/>
      <c r="E45" s="10"/>
      <c r="F45" s="10"/>
      <c r="G45" s="10"/>
      <c r="H45" s="1"/>
    </row>
    <row r="46" ht="21.75" customHeight="1">
      <c r="A46" s="1"/>
      <c r="B46" s="8"/>
      <c r="C46" s="8"/>
      <c r="D46" s="8"/>
      <c r="E46" s="8"/>
      <c r="F46" s="8"/>
      <c r="G46" s="8"/>
      <c r="H46" s="1"/>
    </row>
    <row r="47" ht="21.75" customHeight="1">
      <c r="A47" s="1"/>
      <c r="B47" s="10"/>
      <c r="C47" s="10"/>
      <c r="D47" s="10"/>
      <c r="E47" s="10"/>
      <c r="F47" s="10"/>
      <c r="G47" s="10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 ht="7.5" customHeight="1">
      <c r="A49" s="1"/>
      <c r="B49" s="1"/>
      <c r="C49" s="1"/>
      <c r="D49" s="1"/>
      <c r="E49" s="1"/>
      <c r="F49" s="1"/>
      <c r="G49" s="1"/>
      <c r="H49" s="1"/>
    </row>
    <row r="50" ht="24.0" customHeight="1">
      <c r="A50" s="1"/>
      <c r="B50" s="5" t="s">
        <v>244</v>
      </c>
      <c r="C50" s="11"/>
      <c r="D50" s="11"/>
      <c r="E50" s="11"/>
      <c r="F50" s="11"/>
      <c r="G50" s="6"/>
      <c r="H50" s="1"/>
    </row>
    <row r="51" ht="27.75" customHeight="1">
      <c r="A51" s="1"/>
      <c r="B51" s="24" t="s">
        <v>245</v>
      </c>
      <c r="C51" s="24" t="s">
        <v>246</v>
      </c>
      <c r="D51" s="24" t="s">
        <v>213</v>
      </c>
      <c r="E51" s="24" t="s">
        <v>247</v>
      </c>
      <c r="F51" s="24" t="s">
        <v>248</v>
      </c>
      <c r="G51" s="24" t="s">
        <v>24</v>
      </c>
      <c r="H51" s="1"/>
    </row>
    <row r="52" ht="21.75" customHeight="1">
      <c r="A52" s="1"/>
      <c r="B52" s="8"/>
      <c r="C52" s="8"/>
      <c r="D52" s="8"/>
      <c r="E52" s="8"/>
      <c r="F52" s="8"/>
      <c r="G52" s="8"/>
      <c r="H52" s="1"/>
    </row>
    <row r="53" ht="21.75" customHeight="1">
      <c r="A53" s="1"/>
      <c r="B53" s="10"/>
      <c r="C53" s="10"/>
      <c r="D53" s="10"/>
      <c r="E53" s="10"/>
      <c r="F53" s="10"/>
      <c r="G53" s="10"/>
      <c r="H53" s="1"/>
    </row>
    <row r="54" ht="21.75" customHeight="1">
      <c r="A54" s="1"/>
      <c r="B54" s="8"/>
      <c r="C54" s="8"/>
      <c r="D54" s="8"/>
      <c r="E54" s="8"/>
      <c r="F54" s="8"/>
      <c r="G54" s="8"/>
      <c r="H54" s="1"/>
    </row>
    <row r="55" ht="21.75" customHeight="1">
      <c r="A55" s="1"/>
      <c r="B55" s="10"/>
      <c r="C55" s="10"/>
      <c r="D55" s="10"/>
      <c r="E55" s="10"/>
      <c r="F55" s="10"/>
      <c r="G55" s="10"/>
      <c r="H55" s="1"/>
    </row>
    <row r="56" ht="21.75" customHeight="1">
      <c r="A56" s="1"/>
      <c r="B56" s="8"/>
      <c r="C56" s="8"/>
      <c r="D56" s="8"/>
      <c r="E56" s="8"/>
      <c r="F56" s="8"/>
      <c r="G56" s="8"/>
      <c r="H56" s="1"/>
    </row>
    <row r="57" ht="21.75" customHeight="1">
      <c r="A57" s="1"/>
      <c r="B57" s="10"/>
      <c r="C57" s="10"/>
      <c r="D57" s="10"/>
      <c r="E57" s="10"/>
      <c r="F57" s="10"/>
      <c r="G57" s="10"/>
      <c r="H57" s="1"/>
    </row>
    <row r="58" ht="21.75" customHeight="1">
      <c r="A58" s="1"/>
      <c r="B58" s="8"/>
      <c r="C58" s="8"/>
      <c r="D58" s="8"/>
      <c r="E58" s="8"/>
      <c r="F58" s="8"/>
      <c r="G58" s="8"/>
      <c r="H58" s="1"/>
    </row>
    <row r="59" ht="21.75" customHeight="1">
      <c r="A59" s="1"/>
      <c r="B59" s="10"/>
      <c r="C59" s="10"/>
      <c r="D59" s="10"/>
      <c r="E59" s="10"/>
      <c r="F59" s="10"/>
      <c r="G59" s="10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 ht="18.0" customHeight="1">
      <c r="A61" s="1"/>
      <c r="B61" s="14" t="s">
        <v>42</v>
      </c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6">
    <mergeCell ref="B3:G3"/>
    <mergeCell ref="B5:G5"/>
    <mergeCell ref="B13:G13"/>
    <mergeCell ref="B22:G22"/>
    <mergeCell ref="B38:G38"/>
    <mergeCell ref="B50:G5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6.75"/>
    <col customWidth="1" min="3" max="3" width="45.5"/>
    <col customWidth="1" min="4" max="4" width="50.75"/>
    <col customWidth="1" min="5" max="5" width="28.0"/>
    <col customWidth="1" min="6" max="6" width="22.75"/>
    <col customWidth="1" min="7" max="7" width="22.25"/>
    <col customWidth="1" min="8" max="8" width="17.5"/>
    <col customWidth="1" hidden="1" min="9" max="9" width="12.25"/>
    <col customWidth="1" hidden="1" min="10" max="10" width="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17.25" customHeight="1">
      <c r="A2" s="25" t="s">
        <v>249</v>
      </c>
    </row>
    <row r="3">
      <c r="A3" s="26" t="s">
        <v>250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 ht="29.25" customHeight="1">
      <c r="A5" s="27" t="s">
        <v>251</v>
      </c>
      <c r="B5" s="27" t="s">
        <v>252</v>
      </c>
      <c r="C5" s="27" t="s">
        <v>253</v>
      </c>
      <c r="D5" s="27" t="s">
        <v>254</v>
      </c>
      <c r="E5" s="27" t="s">
        <v>246</v>
      </c>
      <c r="F5" s="27" t="s">
        <v>255</v>
      </c>
      <c r="G5" s="27" t="s">
        <v>214</v>
      </c>
      <c r="H5" s="28" t="s">
        <v>256</v>
      </c>
      <c r="I5" s="27" t="s">
        <v>24</v>
      </c>
      <c r="J5" s="27" t="s">
        <v>155</v>
      </c>
    </row>
    <row r="6" ht="21.75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ht="21.75" customHeight="1">
      <c r="A7" s="29" t="s">
        <v>257</v>
      </c>
      <c r="B7" s="30" t="s">
        <v>258</v>
      </c>
      <c r="C7" s="31" t="s">
        <v>259</v>
      </c>
      <c r="D7" s="32" t="s">
        <v>260</v>
      </c>
      <c r="E7" s="33" t="s">
        <v>125</v>
      </c>
      <c r="F7" s="34" t="s">
        <v>231</v>
      </c>
      <c r="G7" s="34" t="s">
        <v>258</v>
      </c>
      <c r="H7" s="34" t="b">
        <v>0</v>
      </c>
      <c r="I7" s="35" t="s">
        <v>28</v>
      </c>
      <c r="J7" s="34" t="s">
        <v>261</v>
      </c>
    </row>
    <row r="8" ht="21.75" customHeight="1">
      <c r="A8" s="1"/>
      <c r="B8" s="1"/>
      <c r="C8" s="1"/>
      <c r="D8" s="1"/>
      <c r="E8" s="1"/>
      <c r="F8" s="1"/>
      <c r="G8" s="1"/>
      <c r="H8" s="34" t="b">
        <v>0</v>
      </c>
      <c r="I8" s="1"/>
      <c r="J8" s="1"/>
    </row>
    <row r="9" ht="40.5" customHeight="1">
      <c r="A9" s="36" t="s">
        <v>262</v>
      </c>
      <c r="B9" s="37" t="s">
        <v>217</v>
      </c>
      <c r="C9" s="38" t="s">
        <v>263</v>
      </c>
      <c r="D9" s="37" t="s">
        <v>264</v>
      </c>
      <c r="E9" s="39" t="s">
        <v>25</v>
      </c>
      <c r="F9" s="37" t="s">
        <v>265</v>
      </c>
      <c r="G9" s="34" t="s">
        <v>218</v>
      </c>
      <c r="H9" s="32" t="b">
        <v>0</v>
      </c>
      <c r="I9" s="35" t="s">
        <v>28</v>
      </c>
      <c r="J9" s="34" t="s">
        <v>261</v>
      </c>
    </row>
    <row r="10" ht="21.75" customHeight="1">
      <c r="A10" s="37"/>
      <c r="B10" s="37" t="s">
        <v>219</v>
      </c>
      <c r="C10" s="38" t="s">
        <v>266</v>
      </c>
      <c r="D10" s="37" t="s">
        <v>267</v>
      </c>
      <c r="E10" s="39" t="s">
        <v>33</v>
      </c>
      <c r="F10" s="37" t="s">
        <v>37</v>
      </c>
      <c r="G10" s="37" t="s">
        <v>220</v>
      </c>
      <c r="H10" s="32" t="b">
        <v>1</v>
      </c>
      <c r="I10" s="40" t="s">
        <v>28</v>
      </c>
      <c r="J10" s="37" t="s">
        <v>261</v>
      </c>
    </row>
    <row r="11" ht="21.75" customHeight="1">
      <c r="A11" s="37"/>
      <c r="B11" s="37" t="s">
        <v>268</v>
      </c>
      <c r="C11" s="38" t="s">
        <v>269</v>
      </c>
      <c r="D11" s="37" t="s">
        <v>270</v>
      </c>
      <c r="E11" s="39" t="s">
        <v>34</v>
      </c>
      <c r="F11" s="37" t="s">
        <v>36</v>
      </c>
      <c r="G11" s="37" t="s">
        <v>220</v>
      </c>
      <c r="H11" s="32" t="b">
        <v>1</v>
      </c>
      <c r="I11" s="40" t="s">
        <v>28</v>
      </c>
      <c r="J11" s="37" t="s">
        <v>261</v>
      </c>
    </row>
    <row r="12" ht="21.75" customHeight="1">
      <c r="A12" s="37"/>
      <c r="B12" s="37" t="s">
        <v>222</v>
      </c>
      <c r="C12" s="38" t="s">
        <v>271</v>
      </c>
      <c r="D12" s="37" t="s">
        <v>272</v>
      </c>
      <c r="E12" s="39" t="s">
        <v>32</v>
      </c>
      <c r="F12" s="37" t="s">
        <v>273</v>
      </c>
      <c r="G12" s="37" t="s">
        <v>220</v>
      </c>
      <c r="H12" s="32" t="b">
        <v>1</v>
      </c>
      <c r="I12" s="40" t="s">
        <v>28</v>
      </c>
      <c r="J12" s="37" t="s">
        <v>274</v>
      </c>
    </row>
    <row r="13" ht="21.75" customHeight="1">
      <c r="A13" s="37"/>
      <c r="B13" s="37" t="s">
        <v>275</v>
      </c>
      <c r="C13" s="38" t="s">
        <v>276</v>
      </c>
      <c r="D13" s="37" t="s">
        <v>277</v>
      </c>
      <c r="E13" s="39" t="s">
        <v>278</v>
      </c>
      <c r="F13" s="37" t="s">
        <v>279</v>
      </c>
      <c r="G13" s="37" t="s">
        <v>220</v>
      </c>
      <c r="H13" s="32" t="b">
        <v>1</v>
      </c>
      <c r="I13" s="41" t="s">
        <v>35</v>
      </c>
      <c r="J13" s="37" t="s">
        <v>274</v>
      </c>
    </row>
    <row r="14" ht="21.75" customHeight="1">
      <c r="A14" s="37"/>
      <c r="B14" s="37" t="s">
        <v>280</v>
      </c>
      <c r="C14" s="38" t="s">
        <v>281</v>
      </c>
      <c r="D14" s="37" t="s">
        <v>282</v>
      </c>
      <c r="E14" s="39" t="s">
        <v>283</v>
      </c>
      <c r="F14" s="37"/>
      <c r="G14" s="37" t="s">
        <v>220</v>
      </c>
      <c r="H14" s="32" t="b">
        <v>1</v>
      </c>
      <c r="I14" s="41" t="s">
        <v>35</v>
      </c>
      <c r="J14" s="37" t="s">
        <v>284</v>
      </c>
    </row>
    <row r="15">
      <c r="A15" s="37"/>
      <c r="B15" s="37" t="s">
        <v>223</v>
      </c>
      <c r="C15" s="38" t="s">
        <v>285</v>
      </c>
      <c r="D15" s="37" t="s">
        <v>286</v>
      </c>
      <c r="E15" s="39" t="s">
        <v>224</v>
      </c>
      <c r="F15" s="37" t="s">
        <v>287</v>
      </c>
      <c r="G15" s="37" t="s">
        <v>220</v>
      </c>
      <c r="H15" s="32" t="b">
        <v>1</v>
      </c>
      <c r="I15" s="41" t="s">
        <v>35</v>
      </c>
      <c r="J15" s="37" t="s">
        <v>274</v>
      </c>
    </row>
    <row r="16" ht="21.75" customHeight="1">
      <c r="A16" s="37"/>
      <c r="B16" s="37" t="s">
        <v>288</v>
      </c>
      <c r="C16" s="38" t="s">
        <v>289</v>
      </c>
      <c r="D16" s="37" t="s">
        <v>290</v>
      </c>
      <c r="E16" s="39" t="s">
        <v>291</v>
      </c>
      <c r="F16" s="37" t="s">
        <v>39</v>
      </c>
      <c r="G16" s="37" t="s">
        <v>220</v>
      </c>
      <c r="H16" s="32" t="b">
        <v>1</v>
      </c>
      <c r="I16" s="41" t="s">
        <v>35</v>
      </c>
      <c r="J16" s="37" t="s">
        <v>284</v>
      </c>
    </row>
    <row r="17" ht="21.75" customHeight="1">
      <c r="A17" s="37"/>
      <c r="B17" s="37" t="s">
        <v>292</v>
      </c>
      <c r="C17" s="38" t="s">
        <v>293</v>
      </c>
      <c r="D17" s="37" t="s">
        <v>294</v>
      </c>
      <c r="E17" s="39" t="s">
        <v>295</v>
      </c>
      <c r="F17" s="37"/>
      <c r="G17" s="37" t="s">
        <v>220</v>
      </c>
      <c r="H17" s="32" t="b">
        <v>1</v>
      </c>
      <c r="I17" s="42" t="s">
        <v>296</v>
      </c>
      <c r="J17" s="37" t="s">
        <v>297</v>
      </c>
    </row>
    <row r="18" ht="21.75" customHeight="1">
      <c r="A18" s="37"/>
      <c r="B18" s="37" t="s">
        <v>298</v>
      </c>
      <c r="C18" s="38" t="s">
        <v>299</v>
      </c>
      <c r="D18" s="37" t="s">
        <v>300</v>
      </c>
      <c r="E18" s="39" t="s">
        <v>130</v>
      </c>
      <c r="F18" s="37" t="s">
        <v>30</v>
      </c>
      <c r="G18" s="37" t="s">
        <v>301</v>
      </c>
      <c r="H18" s="32" t="b">
        <v>1</v>
      </c>
      <c r="I18" s="40" t="s">
        <v>28</v>
      </c>
      <c r="J18" s="37" t="s">
        <v>261</v>
      </c>
    </row>
    <row r="19" ht="21.75" customHeight="1">
      <c r="A19" s="37"/>
      <c r="B19" s="37" t="s">
        <v>302</v>
      </c>
      <c r="C19" s="38" t="s">
        <v>303</v>
      </c>
      <c r="D19" s="37" t="s">
        <v>304</v>
      </c>
      <c r="E19" s="39" t="s">
        <v>305</v>
      </c>
      <c r="F19" s="37" t="s">
        <v>231</v>
      </c>
      <c r="G19" s="37" t="s">
        <v>301</v>
      </c>
      <c r="H19" s="32" t="b">
        <v>1</v>
      </c>
      <c r="I19" s="40" t="s">
        <v>28</v>
      </c>
      <c r="J19" s="37" t="s">
        <v>261</v>
      </c>
    </row>
    <row r="20" ht="21.75" customHeight="1">
      <c r="A20" s="1"/>
      <c r="B20" s="1"/>
      <c r="C20" s="1"/>
      <c r="D20" s="1"/>
      <c r="E20" s="1"/>
      <c r="F20" s="1"/>
      <c r="G20" s="1"/>
      <c r="H20" s="34" t="b">
        <v>0</v>
      </c>
      <c r="I20" s="1"/>
      <c r="J20" s="1"/>
    </row>
    <row r="21" ht="21.75" customHeight="1">
      <c r="A21" s="29" t="s">
        <v>306</v>
      </c>
      <c r="B21" s="30" t="s">
        <v>307</v>
      </c>
      <c r="C21" s="31" t="s">
        <v>308</v>
      </c>
      <c r="D21" s="34" t="s">
        <v>309</v>
      </c>
      <c r="E21" s="33" t="s">
        <v>310</v>
      </c>
      <c r="F21" s="34" t="s">
        <v>25</v>
      </c>
      <c r="G21" s="34" t="s">
        <v>218</v>
      </c>
      <c r="H21" s="32" t="b">
        <v>1</v>
      </c>
      <c r="I21" s="35" t="s">
        <v>28</v>
      </c>
      <c r="J21" s="34" t="s">
        <v>261</v>
      </c>
    </row>
    <row r="22" ht="21.75" customHeight="1">
      <c r="A22" s="37"/>
      <c r="B22" s="37" t="s">
        <v>311</v>
      </c>
      <c r="C22" s="38" t="s">
        <v>188</v>
      </c>
      <c r="D22" s="37" t="s">
        <v>312</v>
      </c>
      <c r="E22" s="39" t="s">
        <v>30</v>
      </c>
      <c r="F22" s="37" t="s">
        <v>313</v>
      </c>
      <c r="G22" s="37" t="s">
        <v>229</v>
      </c>
      <c r="H22" s="32" t="b">
        <v>1</v>
      </c>
      <c r="I22" s="40" t="s">
        <v>28</v>
      </c>
      <c r="J22" s="37" t="s">
        <v>261</v>
      </c>
    </row>
    <row r="23" ht="21.75" customHeight="1">
      <c r="A23" s="37"/>
      <c r="B23" s="37" t="s">
        <v>230</v>
      </c>
      <c r="C23" s="38" t="s">
        <v>314</v>
      </c>
      <c r="D23" s="37" t="s">
        <v>315</v>
      </c>
      <c r="E23" s="39" t="s">
        <v>231</v>
      </c>
      <c r="F23" s="37" t="s">
        <v>316</v>
      </c>
      <c r="G23" s="37" t="s">
        <v>229</v>
      </c>
      <c r="H23" s="32" t="b">
        <v>1</v>
      </c>
      <c r="I23" s="40" t="s">
        <v>28</v>
      </c>
      <c r="J23" s="37" t="s">
        <v>274</v>
      </c>
    </row>
    <row r="24" ht="21.75" customHeight="1">
      <c r="H24" s="34" t="b">
        <v>0</v>
      </c>
    </row>
    <row r="25" ht="21.75" customHeight="1">
      <c r="A25" s="29" t="s">
        <v>317</v>
      </c>
      <c r="B25" s="30" t="s">
        <v>318</v>
      </c>
      <c r="C25" s="31" t="s">
        <v>319</v>
      </c>
      <c r="D25" s="34" t="s">
        <v>320</v>
      </c>
      <c r="E25" s="33" t="s">
        <v>321</v>
      </c>
      <c r="F25" s="34" t="s">
        <v>322</v>
      </c>
      <c r="G25" s="32" t="s">
        <v>323</v>
      </c>
      <c r="H25" s="32" t="b">
        <v>1</v>
      </c>
      <c r="I25" s="35" t="s">
        <v>28</v>
      </c>
      <c r="J25" s="34" t="s">
        <v>261</v>
      </c>
    </row>
    <row r="26" ht="21.75" customHeight="1">
      <c r="A26" s="37"/>
      <c r="B26" s="37" t="s">
        <v>324</v>
      </c>
      <c r="C26" s="38" t="s">
        <v>325</v>
      </c>
      <c r="D26" s="37" t="s">
        <v>326</v>
      </c>
      <c r="E26" s="39" t="s">
        <v>327</v>
      </c>
      <c r="F26" s="37" t="s">
        <v>328</v>
      </c>
      <c r="G26" s="43" t="s">
        <v>329</v>
      </c>
      <c r="H26" s="32" t="b">
        <v>1</v>
      </c>
      <c r="I26" s="40" t="s">
        <v>28</v>
      </c>
      <c r="J26" s="37" t="s">
        <v>261</v>
      </c>
    </row>
    <row r="27" ht="21.75" customHeight="1">
      <c r="A27" s="37"/>
      <c r="B27" s="37" t="s">
        <v>330</v>
      </c>
      <c r="C27" s="38" t="s">
        <v>331</v>
      </c>
      <c r="D27" s="37" t="s">
        <v>332</v>
      </c>
      <c r="E27" s="39" t="s">
        <v>333</v>
      </c>
      <c r="F27" s="37" t="s">
        <v>334</v>
      </c>
      <c r="G27" s="43" t="s">
        <v>329</v>
      </c>
      <c r="H27" s="32" t="b">
        <v>1</v>
      </c>
      <c r="I27" s="40" t="s">
        <v>28</v>
      </c>
      <c r="J27" s="37" t="s">
        <v>261</v>
      </c>
    </row>
    <row r="28" ht="21.75" customHeight="1">
      <c r="A28" s="37"/>
      <c r="B28" s="37" t="s">
        <v>335</v>
      </c>
      <c r="C28" s="38" t="s">
        <v>336</v>
      </c>
      <c r="D28" s="37" t="s">
        <v>337</v>
      </c>
      <c r="E28" s="39" t="s">
        <v>338</v>
      </c>
      <c r="F28" s="37" t="s">
        <v>339</v>
      </c>
      <c r="G28" s="43" t="s">
        <v>329</v>
      </c>
      <c r="H28" s="32" t="b">
        <v>1</v>
      </c>
      <c r="I28" s="41" t="s">
        <v>35</v>
      </c>
      <c r="J28" s="37" t="s">
        <v>274</v>
      </c>
    </row>
    <row r="29" ht="21.75" customHeight="1">
      <c r="A29" s="37"/>
      <c r="B29" s="37" t="s">
        <v>340</v>
      </c>
      <c r="C29" s="38" t="s">
        <v>341</v>
      </c>
      <c r="D29" s="37" t="s">
        <v>342</v>
      </c>
      <c r="E29" s="39" t="s">
        <v>343</v>
      </c>
      <c r="F29" s="37" t="s">
        <v>344</v>
      </c>
      <c r="G29" s="43" t="s">
        <v>329</v>
      </c>
      <c r="H29" s="32" t="b">
        <v>1</v>
      </c>
      <c r="I29" s="41" t="s">
        <v>35</v>
      </c>
      <c r="J29" s="37" t="s">
        <v>274</v>
      </c>
    </row>
    <row r="30" ht="21.75" customHeight="1">
      <c r="A30" s="37"/>
      <c r="B30" s="37" t="s">
        <v>345</v>
      </c>
      <c r="C30" s="38" t="s">
        <v>346</v>
      </c>
      <c r="D30" s="37" t="s">
        <v>347</v>
      </c>
      <c r="E30" s="39" t="s">
        <v>348</v>
      </c>
      <c r="F30" s="37"/>
      <c r="G30" s="43" t="s">
        <v>329</v>
      </c>
      <c r="H30" s="32" t="b">
        <v>1</v>
      </c>
      <c r="I30" s="41" t="s">
        <v>35</v>
      </c>
      <c r="J30" s="37" t="s">
        <v>284</v>
      </c>
    </row>
    <row r="31" ht="21.75" customHeight="1">
      <c r="A31" s="37"/>
      <c r="B31" s="37" t="s">
        <v>349</v>
      </c>
      <c r="C31" s="38" t="s">
        <v>350</v>
      </c>
      <c r="D31" s="37" t="s">
        <v>351</v>
      </c>
      <c r="E31" s="39" t="s">
        <v>352</v>
      </c>
      <c r="F31" s="37"/>
      <c r="G31" s="43" t="s">
        <v>353</v>
      </c>
      <c r="H31" s="32" t="b">
        <v>1</v>
      </c>
      <c r="I31" s="40" t="s">
        <v>28</v>
      </c>
      <c r="J31" s="37" t="s">
        <v>261</v>
      </c>
    </row>
    <row r="32" ht="21.75" customHeight="1">
      <c r="A32" s="37"/>
      <c r="B32" s="37" t="s">
        <v>354</v>
      </c>
      <c r="C32" s="38" t="s">
        <v>355</v>
      </c>
      <c r="D32" s="37" t="s">
        <v>356</v>
      </c>
      <c r="E32" s="39" t="s">
        <v>357</v>
      </c>
      <c r="F32" s="37"/>
      <c r="G32" s="43" t="s">
        <v>353</v>
      </c>
      <c r="H32" s="32" t="b">
        <v>1</v>
      </c>
      <c r="I32" s="41" t="s">
        <v>35</v>
      </c>
      <c r="J32" s="37" t="s">
        <v>274</v>
      </c>
    </row>
    <row r="33" ht="21.75" customHeight="1">
      <c r="A33" s="37"/>
      <c r="B33" s="37" t="s">
        <v>358</v>
      </c>
      <c r="C33" s="38" t="s">
        <v>359</v>
      </c>
      <c r="D33" s="37" t="s">
        <v>360</v>
      </c>
      <c r="E33" s="39" t="s">
        <v>361</v>
      </c>
      <c r="F33" s="37"/>
      <c r="G33" s="43" t="s">
        <v>353</v>
      </c>
      <c r="H33" s="32" t="b">
        <v>1</v>
      </c>
      <c r="I33" s="41" t="s">
        <v>35</v>
      </c>
      <c r="J33" s="37" t="s">
        <v>274</v>
      </c>
    </row>
    <row r="34" ht="21.75" customHeight="1">
      <c r="A34" s="1"/>
      <c r="B34" s="1"/>
      <c r="C34" s="1"/>
      <c r="D34" s="1"/>
      <c r="E34" s="1"/>
      <c r="F34" s="1"/>
      <c r="G34" s="1"/>
      <c r="H34" s="34" t="b">
        <v>0</v>
      </c>
      <c r="I34" s="1"/>
      <c r="J34" s="1"/>
    </row>
    <row r="35" ht="21.75" customHeight="1">
      <c r="A35" s="29" t="s">
        <v>362</v>
      </c>
      <c r="B35" s="30" t="s">
        <v>363</v>
      </c>
      <c r="C35" s="31" t="s">
        <v>161</v>
      </c>
      <c r="D35" s="34" t="s">
        <v>364</v>
      </c>
      <c r="E35" s="33" t="s">
        <v>365</v>
      </c>
      <c r="F35" s="34" t="s">
        <v>366</v>
      </c>
      <c r="G35" s="34" t="s">
        <v>218</v>
      </c>
      <c r="H35" s="34" t="b">
        <v>0</v>
      </c>
      <c r="I35" s="44" t="s">
        <v>35</v>
      </c>
      <c r="J35" s="34" t="s">
        <v>284</v>
      </c>
    </row>
    <row r="36" ht="21.75" customHeight="1">
      <c r="A36" s="37"/>
      <c r="B36" s="37" t="s">
        <v>367</v>
      </c>
      <c r="C36" s="38" t="s">
        <v>368</v>
      </c>
      <c r="D36" s="37" t="s">
        <v>369</v>
      </c>
      <c r="E36" s="39" t="s">
        <v>38</v>
      </c>
      <c r="F36" s="37" t="s">
        <v>370</v>
      </c>
      <c r="G36" s="37" t="s">
        <v>220</v>
      </c>
      <c r="H36" s="32" t="b">
        <v>1</v>
      </c>
      <c r="I36" s="41" t="s">
        <v>35</v>
      </c>
      <c r="J36" s="37" t="s">
        <v>284</v>
      </c>
    </row>
    <row r="37" ht="21.75" customHeight="1">
      <c r="A37" s="37"/>
      <c r="B37" s="37" t="s">
        <v>371</v>
      </c>
      <c r="C37" s="38" t="s">
        <v>372</v>
      </c>
      <c r="D37" s="37" t="s">
        <v>373</v>
      </c>
      <c r="E37" s="39" t="s">
        <v>374</v>
      </c>
      <c r="F37" s="37"/>
      <c r="G37" s="37" t="s">
        <v>301</v>
      </c>
      <c r="H37" s="32" t="b">
        <v>1</v>
      </c>
      <c r="I37" s="42" t="s">
        <v>296</v>
      </c>
      <c r="J37" s="37" t="s">
        <v>297</v>
      </c>
    </row>
    <row r="38" ht="21.75" customHeight="1">
      <c r="A38" s="37"/>
      <c r="B38" s="37" t="s">
        <v>375</v>
      </c>
      <c r="C38" s="38" t="s">
        <v>376</v>
      </c>
      <c r="D38" s="37" t="s">
        <v>377</v>
      </c>
      <c r="E38" s="39" t="s">
        <v>378</v>
      </c>
      <c r="F38" s="37"/>
      <c r="G38" s="37" t="s">
        <v>301</v>
      </c>
      <c r="H38" s="32" t="b">
        <v>1</v>
      </c>
      <c r="I38" s="42" t="s">
        <v>296</v>
      </c>
      <c r="J38" s="37" t="s">
        <v>297</v>
      </c>
    </row>
    <row r="39" ht="21.75" customHeight="1">
      <c r="A39" s="37"/>
      <c r="B39" s="37" t="s">
        <v>379</v>
      </c>
      <c r="C39" s="38" t="s">
        <v>380</v>
      </c>
      <c r="D39" s="37" t="s">
        <v>381</v>
      </c>
      <c r="E39" s="39" t="s">
        <v>382</v>
      </c>
      <c r="F39" s="37"/>
      <c r="G39" s="37" t="s">
        <v>301</v>
      </c>
      <c r="H39" s="32" t="b">
        <v>1</v>
      </c>
      <c r="I39" s="42" t="s">
        <v>296</v>
      </c>
      <c r="J39" s="37" t="s">
        <v>297</v>
      </c>
    </row>
    <row r="40" ht="21.75" customHeight="1">
      <c r="A40" s="45"/>
      <c r="B40" s="46"/>
      <c r="C40" s="47"/>
      <c r="D40" s="48"/>
      <c r="E40" s="49"/>
      <c r="F40" s="48"/>
      <c r="G40" s="48"/>
      <c r="H40" s="34" t="b">
        <v>0</v>
      </c>
      <c r="I40" s="50"/>
      <c r="J40" s="48"/>
    </row>
    <row r="41" ht="21.75" customHeight="1">
      <c r="A41" s="29" t="s">
        <v>383</v>
      </c>
      <c r="B41" s="30" t="s">
        <v>384</v>
      </c>
      <c r="C41" s="31" t="s">
        <v>199</v>
      </c>
      <c r="D41" s="34" t="s">
        <v>385</v>
      </c>
      <c r="E41" s="33" t="s">
        <v>370</v>
      </c>
      <c r="F41" s="34" t="s">
        <v>386</v>
      </c>
      <c r="G41" s="34" t="s">
        <v>218</v>
      </c>
      <c r="H41" s="32" t="b">
        <v>1</v>
      </c>
      <c r="I41" s="51" t="s">
        <v>296</v>
      </c>
      <c r="J41" s="34" t="s">
        <v>297</v>
      </c>
    </row>
    <row r="42" ht="21.75" customHeight="1">
      <c r="A42" s="37"/>
      <c r="B42" s="37" t="s">
        <v>387</v>
      </c>
      <c r="C42" s="38" t="s">
        <v>388</v>
      </c>
      <c r="D42" s="37" t="s">
        <v>389</v>
      </c>
      <c r="E42" s="39" t="s">
        <v>390</v>
      </c>
      <c r="F42" s="37"/>
      <c r="G42" s="37" t="s">
        <v>301</v>
      </c>
      <c r="H42" s="32" t="b">
        <v>1</v>
      </c>
      <c r="I42" s="42" t="s">
        <v>296</v>
      </c>
      <c r="J42" s="37" t="s">
        <v>391</v>
      </c>
    </row>
    <row r="43" ht="21.75" customHeight="1">
      <c r="A43" s="37"/>
      <c r="B43" s="37" t="s">
        <v>392</v>
      </c>
      <c r="C43" s="38" t="s">
        <v>393</v>
      </c>
      <c r="D43" s="37" t="s">
        <v>394</v>
      </c>
      <c r="E43" s="39" t="s">
        <v>395</v>
      </c>
      <c r="F43" s="37"/>
      <c r="G43" s="37" t="s">
        <v>301</v>
      </c>
      <c r="H43" s="32" t="b">
        <v>1</v>
      </c>
      <c r="I43" s="42" t="s">
        <v>296</v>
      </c>
      <c r="J43" s="37" t="s">
        <v>391</v>
      </c>
    </row>
    <row r="44" ht="21.75" customHeight="1">
      <c r="A44" s="1"/>
      <c r="B44" s="1"/>
      <c r="C44" s="1"/>
      <c r="D44" s="1"/>
      <c r="E44" s="1"/>
      <c r="F44" s="1"/>
      <c r="G44" s="1"/>
      <c r="H44" s="34" t="b">
        <v>0</v>
      </c>
      <c r="I44" s="1"/>
      <c r="J44" s="1"/>
    </row>
    <row r="45" ht="21.75" customHeight="1">
      <c r="A45" s="29" t="s">
        <v>396</v>
      </c>
      <c r="B45" s="30" t="s">
        <v>397</v>
      </c>
      <c r="C45" s="31" t="s">
        <v>166</v>
      </c>
      <c r="D45" s="34" t="s">
        <v>398</v>
      </c>
      <c r="E45" s="33" t="s">
        <v>399</v>
      </c>
      <c r="F45" s="34" t="s">
        <v>400</v>
      </c>
      <c r="G45" s="34" t="s">
        <v>218</v>
      </c>
      <c r="H45" s="32" t="b">
        <v>1</v>
      </c>
      <c r="I45" s="51" t="s">
        <v>296</v>
      </c>
      <c r="J45" s="34" t="s">
        <v>297</v>
      </c>
    </row>
    <row r="46" ht="21.75" customHeight="1">
      <c r="A46" s="37"/>
      <c r="B46" s="37" t="s">
        <v>401</v>
      </c>
      <c r="C46" s="38" t="s">
        <v>402</v>
      </c>
      <c r="D46" s="37" t="s">
        <v>403</v>
      </c>
      <c r="E46" s="39" t="s">
        <v>399</v>
      </c>
      <c r="F46" s="37"/>
      <c r="G46" s="37" t="s">
        <v>301</v>
      </c>
      <c r="H46" s="32" t="b">
        <v>1</v>
      </c>
      <c r="I46" s="42" t="s">
        <v>296</v>
      </c>
      <c r="J46" s="37" t="s">
        <v>297</v>
      </c>
    </row>
    <row r="47" ht="21.75" customHeight="1">
      <c r="A47" s="37"/>
      <c r="B47" s="37" t="s">
        <v>404</v>
      </c>
      <c r="C47" s="38" t="s">
        <v>405</v>
      </c>
      <c r="D47" s="37" t="s">
        <v>406</v>
      </c>
      <c r="E47" s="39" t="s">
        <v>407</v>
      </c>
      <c r="F47" s="37"/>
      <c r="G47" s="37" t="s">
        <v>301</v>
      </c>
      <c r="H47" s="32" t="b">
        <v>1</v>
      </c>
      <c r="I47" s="42" t="s">
        <v>296</v>
      </c>
      <c r="J47" s="37" t="s">
        <v>391</v>
      </c>
    </row>
    <row r="48" ht="21.75" customHeight="1">
      <c r="A48" s="37"/>
      <c r="B48" s="37" t="s">
        <v>408</v>
      </c>
      <c r="C48" s="38" t="s">
        <v>409</v>
      </c>
      <c r="D48" s="37" t="s">
        <v>410</v>
      </c>
      <c r="E48" s="39" t="s">
        <v>411</v>
      </c>
      <c r="F48" s="37"/>
      <c r="G48" s="37" t="s">
        <v>301</v>
      </c>
      <c r="H48" s="32" t="b">
        <v>1</v>
      </c>
      <c r="I48" s="42" t="s">
        <v>296</v>
      </c>
      <c r="J48" s="37" t="s">
        <v>391</v>
      </c>
    </row>
    <row r="49" ht="21.75" customHeight="1">
      <c r="A49" s="29" t="s">
        <v>412</v>
      </c>
      <c r="B49" s="30" t="s">
        <v>413</v>
      </c>
      <c r="C49" s="31" t="s">
        <v>173</v>
      </c>
      <c r="D49" s="34" t="s">
        <v>414</v>
      </c>
      <c r="E49" s="33" t="s">
        <v>415</v>
      </c>
      <c r="F49" s="34"/>
      <c r="G49" s="34" t="s">
        <v>218</v>
      </c>
      <c r="H49" s="32" t="b">
        <v>1</v>
      </c>
      <c r="I49" s="51" t="s">
        <v>296</v>
      </c>
      <c r="J49" s="34" t="s">
        <v>391</v>
      </c>
    </row>
    <row r="50" ht="21.75" customHeight="1">
      <c r="A50" s="37"/>
      <c r="B50" s="37" t="s">
        <v>416</v>
      </c>
      <c r="C50" s="38" t="s">
        <v>417</v>
      </c>
      <c r="D50" s="37" t="s">
        <v>418</v>
      </c>
      <c r="E50" s="39" t="s">
        <v>415</v>
      </c>
      <c r="F50" s="37"/>
      <c r="G50" s="37" t="s">
        <v>301</v>
      </c>
      <c r="H50" s="32" t="b">
        <v>1</v>
      </c>
      <c r="I50" s="42" t="s">
        <v>296</v>
      </c>
      <c r="J50" s="37" t="s">
        <v>391</v>
      </c>
    </row>
    <row r="51" ht="21.75" customHeight="1">
      <c r="A51" s="37"/>
      <c r="B51" s="37" t="s">
        <v>419</v>
      </c>
      <c r="C51" s="38" t="s">
        <v>420</v>
      </c>
      <c r="D51" s="37" t="s">
        <v>421</v>
      </c>
      <c r="E51" s="39" t="s">
        <v>422</v>
      </c>
      <c r="F51" s="37"/>
      <c r="G51" s="37" t="s">
        <v>301</v>
      </c>
      <c r="H51" s="32" t="b">
        <v>1</v>
      </c>
      <c r="I51" s="42" t="s">
        <v>296</v>
      </c>
      <c r="J51" s="37" t="s">
        <v>391</v>
      </c>
    </row>
    <row r="52" ht="21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21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21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21.75" customHeight="1">
      <c r="A55" s="37" t="s">
        <v>423</v>
      </c>
      <c r="B55" s="37" t="s">
        <v>424</v>
      </c>
      <c r="C55" s="38" t="s">
        <v>425</v>
      </c>
      <c r="D55" s="37" t="s">
        <v>426</v>
      </c>
      <c r="E55" s="39"/>
      <c r="F55" s="37"/>
      <c r="G55" s="37" t="s">
        <v>427</v>
      </c>
      <c r="H55" s="37"/>
      <c r="I55" s="41" t="s">
        <v>35</v>
      </c>
      <c r="J55" s="37" t="s">
        <v>274</v>
      </c>
    </row>
    <row r="56" ht="21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33.0" customHeight="1">
      <c r="A57" s="52" t="s">
        <v>423</v>
      </c>
      <c r="B57" s="52" t="s">
        <v>428</v>
      </c>
      <c r="C57" s="53" t="s">
        <v>204</v>
      </c>
      <c r="D57" s="54" t="s">
        <v>429</v>
      </c>
      <c r="E57" s="55" t="s">
        <v>29</v>
      </c>
      <c r="F57" s="54"/>
      <c r="G57" s="54" t="s">
        <v>430</v>
      </c>
      <c r="H57" s="54"/>
      <c r="I57" s="56" t="s">
        <v>28</v>
      </c>
      <c r="J57" s="54" t="s">
        <v>274</v>
      </c>
    </row>
    <row r="58" ht="21.75" customHeight="1">
      <c r="A58" s="57"/>
      <c r="B58" s="57" t="s">
        <v>431</v>
      </c>
      <c r="C58" s="58" t="s">
        <v>432</v>
      </c>
      <c r="D58" s="57"/>
      <c r="E58" s="59" t="s">
        <v>36</v>
      </c>
      <c r="F58" s="57"/>
      <c r="G58" s="57" t="s">
        <v>433</v>
      </c>
      <c r="H58" s="57"/>
      <c r="I58" s="60" t="s">
        <v>28</v>
      </c>
      <c r="J58" s="57" t="s">
        <v>274</v>
      </c>
    </row>
    <row r="59" ht="21.75" customHeight="1">
      <c r="A59" s="57"/>
      <c r="B59" s="57" t="s">
        <v>434</v>
      </c>
      <c r="C59" s="58" t="s">
        <v>435</v>
      </c>
      <c r="D59" s="57"/>
      <c r="E59" s="59" t="s">
        <v>436</v>
      </c>
      <c r="F59" s="57"/>
      <c r="G59" s="57" t="s">
        <v>433</v>
      </c>
      <c r="H59" s="57"/>
      <c r="I59" s="60" t="s">
        <v>28</v>
      </c>
      <c r="J59" s="57" t="s">
        <v>274</v>
      </c>
    </row>
    <row r="60" ht="21.75" customHeight="1">
      <c r="A60" s="57"/>
      <c r="B60" s="57" t="s">
        <v>437</v>
      </c>
      <c r="C60" s="58" t="s">
        <v>438</v>
      </c>
      <c r="D60" s="57"/>
      <c r="E60" s="59" t="s">
        <v>33</v>
      </c>
      <c r="F60" s="57"/>
      <c r="G60" s="57" t="s">
        <v>433</v>
      </c>
      <c r="H60" s="57"/>
      <c r="I60" s="60" t="s">
        <v>28</v>
      </c>
      <c r="J60" s="57" t="s">
        <v>274</v>
      </c>
    </row>
    <row r="61" ht="21.75" customHeight="1">
      <c r="A61" s="57"/>
      <c r="B61" s="57" t="s">
        <v>439</v>
      </c>
      <c r="C61" s="58" t="s">
        <v>440</v>
      </c>
      <c r="D61" s="57"/>
      <c r="E61" s="59" t="s">
        <v>441</v>
      </c>
      <c r="F61" s="57"/>
      <c r="G61" s="57" t="s">
        <v>433</v>
      </c>
      <c r="H61" s="57"/>
      <c r="I61" s="61" t="s">
        <v>35</v>
      </c>
      <c r="J61" s="57" t="s">
        <v>284</v>
      </c>
    </row>
    <row r="62" ht="21.75" customHeight="1">
      <c r="A62" s="57"/>
      <c r="B62" s="57" t="s">
        <v>442</v>
      </c>
      <c r="C62" s="58" t="s">
        <v>443</v>
      </c>
      <c r="D62" s="57"/>
      <c r="E62" s="59" t="s">
        <v>444</v>
      </c>
      <c r="F62" s="57"/>
      <c r="G62" s="57" t="s">
        <v>433</v>
      </c>
      <c r="H62" s="57"/>
      <c r="I62" s="61" t="s">
        <v>35</v>
      </c>
      <c r="J62" s="57" t="s">
        <v>284</v>
      </c>
    </row>
    <row r="63" ht="21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32.25" customHeight="1">
      <c r="A64" s="52" t="s">
        <v>423</v>
      </c>
      <c r="B64" s="52" t="s">
        <v>445</v>
      </c>
      <c r="C64" s="53" t="s">
        <v>446</v>
      </c>
      <c r="D64" s="54" t="s">
        <v>447</v>
      </c>
      <c r="E64" s="55" t="s">
        <v>310</v>
      </c>
      <c r="F64" s="54"/>
      <c r="G64" s="54" t="s">
        <v>430</v>
      </c>
      <c r="H64" s="54"/>
      <c r="I64" s="56" t="s">
        <v>28</v>
      </c>
      <c r="J64" s="54" t="s">
        <v>274</v>
      </c>
    </row>
    <row r="65" ht="21.75" customHeight="1">
      <c r="A65" s="57"/>
      <c r="B65" s="57" t="s">
        <v>448</v>
      </c>
      <c r="C65" s="58" t="s">
        <v>449</v>
      </c>
      <c r="D65" s="57"/>
      <c r="E65" s="59" t="s">
        <v>25</v>
      </c>
      <c r="F65" s="57"/>
      <c r="G65" s="57" t="s">
        <v>433</v>
      </c>
      <c r="H65" s="57"/>
      <c r="I65" s="60" t="s">
        <v>28</v>
      </c>
      <c r="J65" s="57" t="s">
        <v>274</v>
      </c>
    </row>
    <row r="66" ht="21.75" customHeight="1">
      <c r="A66" s="57"/>
      <c r="B66" s="57" t="s">
        <v>450</v>
      </c>
      <c r="C66" s="58" t="s">
        <v>451</v>
      </c>
      <c r="D66" s="57"/>
      <c r="E66" s="59" t="s">
        <v>452</v>
      </c>
      <c r="F66" s="57"/>
      <c r="G66" s="57" t="s">
        <v>433</v>
      </c>
      <c r="H66" s="57"/>
      <c r="I66" s="61" t="s">
        <v>35</v>
      </c>
      <c r="J66" s="57" t="s">
        <v>284</v>
      </c>
    </row>
    <row r="67" ht="21.75" customHeight="1">
      <c r="A67" s="57"/>
      <c r="B67" s="57" t="s">
        <v>453</v>
      </c>
      <c r="C67" s="58" t="s">
        <v>454</v>
      </c>
      <c r="D67" s="57"/>
      <c r="E67" s="59" t="s">
        <v>310</v>
      </c>
      <c r="F67" s="57"/>
      <c r="G67" s="57" t="s">
        <v>433</v>
      </c>
      <c r="H67" s="57"/>
      <c r="I67" s="61" t="s">
        <v>35</v>
      </c>
      <c r="J67" s="57" t="s">
        <v>284</v>
      </c>
    </row>
    <row r="68" ht="21.75" customHeight="1">
      <c r="A68" s="57"/>
      <c r="B68" s="57" t="s">
        <v>455</v>
      </c>
      <c r="C68" s="58" t="s">
        <v>456</v>
      </c>
      <c r="D68" s="57"/>
      <c r="E68" s="59" t="s">
        <v>457</v>
      </c>
      <c r="F68" s="57"/>
      <c r="G68" s="57" t="s">
        <v>433</v>
      </c>
      <c r="H68" s="57"/>
      <c r="I68" s="61" t="s">
        <v>35</v>
      </c>
      <c r="J68" s="57" t="s">
        <v>284</v>
      </c>
    </row>
    <row r="69" ht="21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37.5" customHeight="1">
      <c r="A70" s="52" t="s">
        <v>423</v>
      </c>
      <c r="B70" s="52" t="s">
        <v>458</v>
      </c>
      <c r="C70" s="53" t="s">
        <v>459</v>
      </c>
      <c r="D70" s="54" t="s">
        <v>460</v>
      </c>
      <c r="E70" s="55" t="s">
        <v>234</v>
      </c>
      <c r="F70" s="54"/>
      <c r="G70" s="54" t="s">
        <v>430</v>
      </c>
      <c r="H70" s="54"/>
      <c r="I70" s="62" t="s">
        <v>35</v>
      </c>
      <c r="J70" s="54" t="s">
        <v>284</v>
      </c>
    </row>
    <row r="71" ht="21.75" customHeight="1">
      <c r="A71" s="57"/>
      <c r="B71" s="57" t="s">
        <v>461</v>
      </c>
      <c r="C71" s="58" t="s">
        <v>462</v>
      </c>
      <c r="D71" s="57"/>
      <c r="E71" s="59" t="s">
        <v>463</v>
      </c>
      <c r="F71" s="57"/>
      <c r="G71" s="57" t="s">
        <v>433</v>
      </c>
      <c r="H71" s="57"/>
      <c r="I71" s="61" t="s">
        <v>35</v>
      </c>
      <c r="J71" s="57" t="s">
        <v>284</v>
      </c>
    </row>
    <row r="72" ht="21.75" customHeight="1">
      <c r="A72" s="57"/>
      <c r="B72" s="57" t="s">
        <v>464</v>
      </c>
      <c r="C72" s="58" t="s">
        <v>465</v>
      </c>
      <c r="D72" s="57"/>
      <c r="E72" s="59" t="s">
        <v>239</v>
      </c>
      <c r="F72" s="57"/>
      <c r="G72" s="57" t="s">
        <v>433</v>
      </c>
      <c r="H72" s="57"/>
      <c r="I72" s="61" t="s">
        <v>35</v>
      </c>
      <c r="J72" s="57" t="s">
        <v>284</v>
      </c>
    </row>
    <row r="73" ht="21.75" customHeight="1">
      <c r="A73" s="57"/>
      <c r="B73" s="57" t="s">
        <v>466</v>
      </c>
      <c r="C73" s="58" t="s">
        <v>467</v>
      </c>
      <c r="D73" s="57"/>
      <c r="E73" s="59" t="s">
        <v>468</v>
      </c>
      <c r="F73" s="57"/>
      <c r="G73" s="57" t="s">
        <v>433</v>
      </c>
      <c r="H73" s="57"/>
      <c r="I73" s="61" t="s">
        <v>35</v>
      </c>
      <c r="J73" s="57" t="s">
        <v>469</v>
      </c>
    </row>
    <row r="74" ht="21.75" customHeight="1">
      <c r="A74" s="57"/>
      <c r="B74" s="57" t="s">
        <v>470</v>
      </c>
      <c r="C74" s="58" t="s">
        <v>471</v>
      </c>
      <c r="D74" s="57"/>
      <c r="E74" s="59" t="s">
        <v>472</v>
      </c>
      <c r="F74" s="57"/>
      <c r="G74" s="57" t="s">
        <v>433</v>
      </c>
      <c r="H74" s="57"/>
      <c r="I74" s="63" t="s">
        <v>296</v>
      </c>
      <c r="J74" s="57" t="s">
        <v>297</v>
      </c>
    </row>
    <row r="75" ht="21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30.75" customHeight="1">
      <c r="A76" s="52" t="s">
        <v>423</v>
      </c>
      <c r="B76" s="52" t="s">
        <v>473</v>
      </c>
      <c r="C76" s="53" t="s">
        <v>474</v>
      </c>
      <c r="D76" s="54" t="s">
        <v>475</v>
      </c>
      <c r="E76" s="55" t="s">
        <v>476</v>
      </c>
      <c r="F76" s="54"/>
      <c r="G76" s="54" t="s">
        <v>430</v>
      </c>
      <c r="H76" s="54"/>
      <c r="I76" s="64" t="s">
        <v>296</v>
      </c>
      <c r="J76" s="54" t="s">
        <v>297</v>
      </c>
    </row>
    <row r="77" ht="21.75" customHeight="1">
      <c r="A77" s="57"/>
      <c r="B77" s="57" t="s">
        <v>477</v>
      </c>
      <c r="C77" s="58" t="s">
        <v>478</v>
      </c>
      <c r="D77" s="57"/>
      <c r="E77" s="59" t="s">
        <v>370</v>
      </c>
      <c r="F77" s="57"/>
      <c r="G77" s="57" t="s">
        <v>433</v>
      </c>
      <c r="H77" s="57"/>
      <c r="I77" s="63" t="s">
        <v>296</v>
      </c>
      <c r="J77" s="57" t="s">
        <v>297</v>
      </c>
    </row>
    <row r="78" ht="21.75" customHeight="1">
      <c r="A78" s="65" t="s">
        <v>479</v>
      </c>
      <c r="B78" s="3"/>
      <c r="C78" s="3"/>
      <c r="D78" s="3"/>
      <c r="E78" s="3"/>
      <c r="F78" s="3"/>
      <c r="G78" s="3"/>
      <c r="H78" s="3"/>
      <c r="I78" s="3"/>
      <c r="J78" s="4"/>
    </row>
    <row r="79" ht="21.75" customHeight="1">
      <c r="A79" s="65" t="s">
        <v>480</v>
      </c>
      <c r="B79" s="3"/>
      <c r="C79" s="3"/>
      <c r="D79" s="3"/>
      <c r="E79" s="3"/>
      <c r="F79" s="3"/>
      <c r="G79" s="3"/>
      <c r="H79" s="3"/>
      <c r="I79" s="3"/>
      <c r="J79" s="4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38.25" customHeight="1">
      <c r="A81" s="52" t="s">
        <v>423</v>
      </c>
      <c r="B81" s="52" t="s">
        <v>481</v>
      </c>
      <c r="C81" s="53" t="s">
        <v>482</v>
      </c>
      <c r="D81" s="54" t="s">
        <v>483</v>
      </c>
      <c r="E81" s="55" t="s">
        <v>484</v>
      </c>
      <c r="F81" s="54"/>
      <c r="G81" s="54" t="s">
        <v>430</v>
      </c>
      <c r="H81" s="54"/>
      <c r="I81" s="64" t="s">
        <v>296</v>
      </c>
      <c r="J81" s="54" t="s">
        <v>297</v>
      </c>
    </row>
    <row r="82">
      <c r="A82" s="57"/>
      <c r="B82" s="57" t="s">
        <v>485</v>
      </c>
      <c r="C82" s="58" t="s">
        <v>486</v>
      </c>
      <c r="D82" s="57"/>
      <c r="E82" s="59" t="s">
        <v>484</v>
      </c>
      <c r="F82" s="57"/>
      <c r="G82" s="57" t="s">
        <v>433</v>
      </c>
      <c r="H82" s="57"/>
      <c r="I82" s="63" t="s">
        <v>296</v>
      </c>
      <c r="J82" s="57" t="s">
        <v>297</v>
      </c>
    </row>
    <row r="83">
      <c r="A83" s="57"/>
      <c r="B83" s="57" t="s">
        <v>487</v>
      </c>
      <c r="C83" s="58" t="s">
        <v>488</v>
      </c>
      <c r="D83" s="57"/>
      <c r="E83" s="59" t="s">
        <v>489</v>
      </c>
      <c r="F83" s="57"/>
      <c r="G83" s="57" t="s">
        <v>433</v>
      </c>
      <c r="H83" s="57"/>
      <c r="I83" s="63" t="s">
        <v>296</v>
      </c>
      <c r="J83" s="57" t="s">
        <v>391</v>
      </c>
    </row>
    <row r="84">
      <c r="A84" s="57"/>
      <c r="B84" s="57" t="s">
        <v>490</v>
      </c>
      <c r="C84" s="58" t="s">
        <v>491</v>
      </c>
      <c r="D84" s="57"/>
      <c r="E84" s="59" t="s">
        <v>492</v>
      </c>
      <c r="F84" s="57"/>
      <c r="G84" s="57" t="s">
        <v>433</v>
      </c>
      <c r="H84" s="57"/>
      <c r="I84" s="63" t="s">
        <v>296</v>
      </c>
      <c r="J84" s="57" t="s">
        <v>391</v>
      </c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4">
    <mergeCell ref="A2:J2"/>
    <mergeCell ref="A3:J3"/>
    <mergeCell ref="A78:J78"/>
    <mergeCell ref="A79:J79"/>
  </mergeCells>
  <printOptions/>
  <pageMargins bottom="1.0" footer="0.0" header="0.0" left="0.75" right="0.75" top="1.0"/>
  <pageSetup paperSize="9" orientation="portrait"/>
  <drawing r:id="rId1"/>
</worksheet>
</file>